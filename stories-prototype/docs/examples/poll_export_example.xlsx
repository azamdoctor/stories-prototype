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Все исполнители" sheetId="2" state="visible" r:id="rId4"/>
    <sheet name="Ответили на опрос" sheetId="3" state="visible" r:id="rId5"/>
    <sheet name="Увидели, не ответили" sheetId="4" state="visible" r:id="rId6"/>
    <sheet name="Не увидели сторис" sheetId="5" state="visible" r:id="rId7"/>
  </sheets>
  <definedNames>
    <definedName function="false" hidden="true" localSheetId="1" name="_xlnm._FilterDatabase" vbProcedure="false">'Все исполнители'!$A$1:$M$61</definedName>
    <definedName function="false" hidden="true" localSheetId="4" name="_xlnm._FilterDatabase" vbProcedure="false">'Не увидели сторис'!$A$1:$M$11</definedName>
    <definedName function="false" hidden="true" localSheetId="2" name="_xlnm._FilterDatabase" vbProcedure="false">'Ответили на опрос'!$A$1:$M$11</definedName>
    <definedName function="false" hidden="true" localSheetId="3" name="_xlnm._FilterDatabase" vbProcedure="false">'Увидели, не ответили'!$A$3:$M$43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<sst xmlns="http://schemas.openxmlformats.org/spreadsheetml/2006/main" count="860" uniqueCount="185">
  <si>
    <t xml:space="preserve">Сводка по сторис: «Откуда вы о нас узнали?»</t>
  </si>
  <si>
    <t xml:space="preserve">Период: 01.05.2026 — 07.05.2026 · Таргетинг: Москва, Санкт-Петербург, Краснодар · Все категории</t>
  </si>
  <si>
    <t xml:space="preserve">Воронка</t>
  </si>
  <si>
    <t xml:space="preserve">Этап</t>
  </si>
  <si>
    <t xml:space="preserve">Кол-во</t>
  </si>
  <si>
    <t xml:space="preserve">% от показа</t>
  </si>
  <si>
    <t xml:space="preserve">% от увидевших</t>
  </si>
  <si>
    <t xml:space="preserve">1. В таргете (показано)</t>
  </si>
  <si>
    <t xml:space="preserve">2. Увидели сторис</t>
  </si>
  <si>
    <t xml:space="preserve">3. Прошли опрос</t>
  </si>
  <si>
    <t xml:space="preserve">4. Увидели, но не ответили</t>
  </si>
  <si>
    <t xml:space="preserve">Распределение ответов</t>
  </si>
  <si>
    <t xml:space="preserve">Вариант</t>
  </si>
  <si>
    <t xml:space="preserve">Голосов</t>
  </si>
  <si>
    <t xml:space="preserve">Доля</t>
  </si>
  <si>
    <t xml:space="preserve">Через друзей и знакомых</t>
  </si>
  <si>
    <t xml:space="preserve">Реклама ВКонтакте</t>
  </si>
  <si>
    <t xml:space="preserve">Поиск в интернете</t>
  </si>
  <si>
    <t xml:space="preserve">Telegram-каналы</t>
  </si>
  <si>
    <t xml:space="preserve">Другое</t>
  </si>
  <si>
    <t xml:space="preserve">По городам (среди ответивших)</t>
  </si>
  <si>
    <t xml:space="preserve">Город</t>
  </si>
  <si>
    <t xml:space="preserve">Ответов</t>
  </si>
  <si>
    <t xml:space="preserve">Екатеринбург</t>
  </si>
  <si>
    <t xml:space="preserve">Казань</t>
  </si>
  <si>
    <t xml:space="preserve">Краснодар</t>
  </si>
  <si>
    <t xml:space="preserve">Москва</t>
  </si>
  <si>
    <t xml:space="preserve">Новосибирск</t>
  </si>
  <si>
    <t xml:space="preserve">Санкт-Петербург</t>
  </si>
  <si>
    <t xml:space="preserve">Файл сгенерирован автоматически из ERP «Рабочие руки». Все формулы пересчитываются при изменении данных.</t>
  </si>
  <si>
    <t xml:space="preserve">ID</t>
  </si>
  <si>
    <t xml:space="preserve">ФИО</t>
  </si>
  <si>
    <t xml:space="preserve">Телефон</t>
  </si>
  <si>
    <t xml:space="preserve">Категория</t>
  </si>
  <si>
    <t xml:space="preserve">Стаж
(мес)</t>
  </si>
  <si>
    <t xml:space="preserve">Кол-во
смен</t>
  </si>
  <si>
    <t xml:space="preserve">Увидел
сторис</t>
  </si>
  <si>
    <t xml:space="preserve">Время просмотра
(сек)</t>
  </si>
  <si>
    <t xml:space="preserve">Статус</t>
  </si>
  <si>
    <t xml:space="preserve">Ответ</t>
  </si>
  <si>
    <t xml:space="preserve">Дата/время ответа</t>
  </si>
  <si>
    <t xml:space="preserve">Реакция</t>
  </si>
  <si>
    <t xml:space="preserve">Кузнецов А.А.</t>
  </si>
  <si>
    <t xml:space="preserve">+7 941 328-27-23</t>
  </si>
  <si>
    <t xml:space="preserve">Стройка</t>
  </si>
  <si>
    <t xml:space="preserve">Да</t>
  </si>
  <si>
    <t xml:space="preserve">Прошёл опрос</t>
  </si>
  <si>
    <t xml:space="preserve">2026-05-05 08:35</t>
  </si>
  <si>
    <t xml:space="preserve">Богданов А.И.</t>
  </si>
  <si>
    <t xml:space="preserve">+7 967 703-45-10</t>
  </si>
  <si>
    <t xml:space="preserve">Уборка</t>
  </si>
  <si>
    <t xml:space="preserve">Увидел, не ответил</t>
  </si>
  <si>
    <t xml:space="preserve">❤️</t>
  </si>
  <si>
    <t xml:space="preserve">Волков Д.М.</t>
  </si>
  <si>
    <t xml:space="preserve">+7 987 370-15-68</t>
  </si>
  <si>
    <t xml:space="preserve">Склад</t>
  </si>
  <si>
    <t xml:space="preserve">Воробьёв С.А.</t>
  </si>
  <si>
    <t xml:space="preserve">+7 915 777-39-47</t>
  </si>
  <si>
    <t xml:space="preserve">Курьер</t>
  </si>
  <si>
    <t xml:space="preserve">Соколов Н.А.</t>
  </si>
  <si>
    <t xml:space="preserve">+7 999 799-92-19</t>
  </si>
  <si>
    <t xml:space="preserve">2026-05-02 18:20</t>
  </si>
  <si>
    <t xml:space="preserve">Петров С.С.</t>
  </si>
  <si>
    <t xml:space="preserve">+7 950 510-44-18</t>
  </si>
  <si>
    <t xml:space="preserve">Козлов М.И.</t>
  </si>
  <si>
    <t xml:space="preserve">+7 981 651-43-84</t>
  </si>
  <si>
    <t xml:space="preserve">Кузнецов М.Д.</t>
  </si>
  <si>
    <t xml:space="preserve">+7 997 532-86-18</t>
  </si>
  <si>
    <t xml:space="preserve">Кузнецов Н.П.</t>
  </si>
  <si>
    <t xml:space="preserve">+7 944 887-92-53</t>
  </si>
  <si>
    <t xml:space="preserve">Производство</t>
  </si>
  <si>
    <t xml:space="preserve">Виноградов Р.Д.</t>
  </si>
  <si>
    <t xml:space="preserve">+7 974 208-90-48</t>
  </si>
  <si>
    <t xml:space="preserve">Иванов М.М.</t>
  </si>
  <si>
    <t xml:space="preserve">+7 972 119-24-56</t>
  </si>
  <si>
    <t xml:space="preserve">Нет</t>
  </si>
  <si>
    <t xml:space="preserve">Не увидел</t>
  </si>
  <si>
    <t xml:space="preserve">Сидоров Д.О.</t>
  </si>
  <si>
    <t xml:space="preserve">+7 918 878-78-26</t>
  </si>
  <si>
    <t xml:space="preserve">Богданов Р.И.</t>
  </si>
  <si>
    <t xml:space="preserve">+7 949 508-95-93</t>
  </si>
  <si>
    <t xml:space="preserve">Лебедев М.И.</t>
  </si>
  <si>
    <t xml:space="preserve">+7 910 172-90-17</t>
  </si>
  <si>
    <t xml:space="preserve">2026-05-02 16:08</t>
  </si>
  <si>
    <t xml:space="preserve">Воробьёв М.О.</t>
  </si>
  <si>
    <t xml:space="preserve">+7 941 903-70-62</t>
  </si>
  <si>
    <t xml:space="preserve">Кузнецов А.В.</t>
  </si>
  <si>
    <t xml:space="preserve">+7 953 919-23-41</t>
  </si>
  <si>
    <t xml:space="preserve">Сидоров И.П.</t>
  </si>
  <si>
    <t xml:space="preserve">+7 922 151-93-79</t>
  </si>
  <si>
    <t xml:space="preserve">Попов А.С.</t>
  </si>
  <si>
    <t xml:space="preserve">+7 959 371-68-46</t>
  </si>
  <si>
    <t xml:space="preserve">2026-05-01 19:20</t>
  </si>
  <si>
    <t xml:space="preserve">👍</t>
  </si>
  <si>
    <t xml:space="preserve">Голубев К.П.</t>
  </si>
  <si>
    <t xml:space="preserve">+7 930 158-75-20</t>
  </si>
  <si>
    <t xml:space="preserve">Алексеев Д.Н.</t>
  </si>
  <si>
    <t xml:space="preserve">+7 941 692-86-15</t>
  </si>
  <si>
    <t xml:space="preserve">Морозов С.А.</t>
  </si>
  <si>
    <t xml:space="preserve">+7 960 234-95-92</t>
  </si>
  <si>
    <t xml:space="preserve">Сидоров А.О.</t>
  </si>
  <si>
    <t xml:space="preserve">+7 989 676-22-19</t>
  </si>
  <si>
    <t xml:space="preserve">2026-05-03 12:10</t>
  </si>
  <si>
    <t xml:space="preserve">Богданов И.А.</t>
  </si>
  <si>
    <t xml:space="preserve">+7 988 926-93-77</t>
  </si>
  <si>
    <t xml:space="preserve">2026-05-01 19:35</t>
  </si>
  <si>
    <t xml:space="preserve">🔥</t>
  </si>
  <si>
    <t xml:space="preserve">Фёдоров С.М.</t>
  </si>
  <si>
    <t xml:space="preserve">+7 936 803-91-43</t>
  </si>
  <si>
    <t xml:space="preserve">Петров Д.В.</t>
  </si>
  <si>
    <t xml:space="preserve">+7 945 145-10-52</t>
  </si>
  <si>
    <t xml:space="preserve">Смирнов К.С.</t>
  </si>
  <si>
    <t xml:space="preserve">+7 957 696-80-28</t>
  </si>
  <si>
    <t xml:space="preserve">Соколов Н.И.</t>
  </si>
  <si>
    <t xml:space="preserve">+7 995 205-55-81</t>
  </si>
  <si>
    <t xml:space="preserve">Попов Р.Д.</t>
  </si>
  <si>
    <t xml:space="preserve">+7 962 125-32-52</t>
  </si>
  <si>
    <t xml:space="preserve">Кузнецов А.С.</t>
  </si>
  <si>
    <t xml:space="preserve">+7 970 327-35-68</t>
  </si>
  <si>
    <t xml:space="preserve">Козлов А.П.</t>
  </si>
  <si>
    <t xml:space="preserve">+7 961 795-78-52</t>
  </si>
  <si>
    <t xml:space="preserve">2026-05-04 13:46</t>
  </si>
  <si>
    <t xml:space="preserve">Лапин М.П.</t>
  </si>
  <si>
    <t xml:space="preserve">+7 924 494-83-34</t>
  </si>
  <si>
    <t xml:space="preserve">Соколов А.В.</t>
  </si>
  <si>
    <t xml:space="preserve">+7 918 780-52-89</t>
  </si>
  <si>
    <t xml:space="preserve">Смирнов С.В.</t>
  </si>
  <si>
    <t xml:space="preserve">+7 995 488-96-32</t>
  </si>
  <si>
    <t xml:space="preserve">2026-05-07 17:38</t>
  </si>
  <si>
    <t xml:space="preserve">Семёнов И.О.</t>
  </si>
  <si>
    <t xml:space="preserve">+7 996 318-75-70</t>
  </si>
  <si>
    <t xml:space="preserve">Лебедев Н.А.</t>
  </si>
  <si>
    <t xml:space="preserve">+7 938 925-35-28</t>
  </si>
  <si>
    <t xml:space="preserve">Воробьёв С.В.</t>
  </si>
  <si>
    <t xml:space="preserve">+7 973 509-41-28</t>
  </si>
  <si>
    <t xml:space="preserve">Петров К.И.</t>
  </si>
  <si>
    <t xml:space="preserve">+7 925 567-27-69</t>
  </si>
  <si>
    <t xml:space="preserve">Виноградов А.П.</t>
  </si>
  <si>
    <t xml:space="preserve">+7 967 262-70-67</t>
  </si>
  <si>
    <t xml:space="preserve">Голубев Н.И.</t>
  </si>
  <si>
    <t xml:space="preserve">+7 945 550-19-46</t>
  </si>
  <si>
    <t xml:space="preserve">Сидоров М.Д.</t>
  </si>
  <si>
    <t xml:space="preserve">+7 939 492-98-29</t>
  </si>
  <si>
    <t xml:space="preserve">Лапин А.Н.</t>
  </si>
  <si>
    <t xml:space="preserve">+7 999 120-83-58</t>
  </si>
  <si>
    <t xml:space="preserve">Лапин К.П.</t>
  </si>
  <si>
    <t xml:space="preserve">+7 987 325-72-38</t>
  </si>
  <si>
    <t xml:space="preserve">Семёнов Е.Д.</t>
  </si>
  <si>
    <t xml:space="preserve">+7 989 646-13-60</t>
  </si>
  <si>
    <t xml:space="preserve">Морозов С.О.</t>
  </si>
  <si>
    <t xml:space="preserve">+7 951 445-58-45</t>
  </si>
  <si>
    <t xml:space="preserve">Сидоров Р.С.</t>
  </si>
  <si>
    <t xml:space="preserve">+7 913 353-35-12</t>
  </si>
  <si>
    <t xml:space="preserve">Козлов Р.М.</t>
  </si>
  <si>
    <t xml:space="preserve">+7 931 720-87-24</t>
  </si>
  <si>
    <t xml:space="preserve">Алексеев И.И.</t>
  </si>
  <si>
    <t xml:space="preserve">+7 919 706-98-90</t>
  </si>
  <si>
    <t xml:space="preserve">Петров А.П.</t>
  </si>
  <si>
    <t xml:space="preserve">+7 964 777-57-18</t>
  </si>
  <si>
    <t xml:space="preserve">Семёнов И.Д.</t>
  </si>
  <si>
    <t xml:space="preserve">+7 965 280-76-93</t>
  </si>
  <si>
    <t xml:space="preserve">Лебедев Д.А.</t>
  </si>
  <si>
    <t xml:space="preserve">+7 945 561-41-69</t>
  </si>
  <si>
    <t xml:space="preserve">2026-05-03 20:16</t>
  </si>
  <si>
    <t xml:space="preserve">Фёдоров И.А.</t>
  </si>
  <si>
    <t xml:space="preserve">+7 981 110-76-34</t>
  </si>
  <si>
    <t xml:space="preserve">Семёнов Р.С.</t>
  </si>
  <si>
    <t xml:space="preserve">+7 921 401-38-61</t>
  </si>
  <si>
    <t xml:space="preserve">Богданов А.М.</t>
  </si>
  <si>
    <t xml:space="preserve">+7 999 564-44-49</t>
  </si>
  <si>
    <t xml:space="preserve">Попов С.И.</t>
  </si>
  <si>
    <t xml:space="preserve">+7 971 383-85-77</t>
  </si>
  <si>
    <t xml:space="preserve">2026-05-06 16:08</t>
  </si>
  <si>
    <t xml:space="preserve">Петров К.А.</t>
  </si>
  <si>
    <t xml:space="preserve">+7 999 229-91-72</t>
  </si>
  <si>
    <t xml:space="preserve">Голубев Д.А.</t>
  </si>
  <si>
    <t xml:space="preserve">+7 961 603-19-83</t>
  </si>
  <si>
    <t xml:space="preserve">Новиков Д.И.</t>
  </si>
  <si>
    <t xml:space="preserve">+7 925 671-63-87</t>
  </si>
  <si>
    <t xml:space="preserve">+7 989 161-88-22</t>
  </si>
  <si>
    <t xml:space="preserve">Семёнов И.Н.</t>
  </si>
  <si>
    <t xml:space="preserve">+7 970 398-14-39</t>
  </si>
  <si>
    <t xml:space="preserve">Соколов А.А.</t>
  </si>
  <si>
    <t xml:space="preserve">+7 979 330-92-29</t>
  </si>
  <si>
    <t xml:space="preserve">⚠ КЛЮЧЕВОЙ СЕГМЕНТ ДЛЯ МАРКЕТИНГА: эти исполнители увидели сторис, но опрос не прошли. Можно использовать для повторной кампании, ретаргетинга, push-уведомления или ручного обзвона.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</si>
</sst>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976D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b val="true"/>
      <sz val="11"/>
      <color rgb="FF8B45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976D2"/>
        <bgColor rgb="FF3366FF"/>
      </patternFill>
    </fill>
    <fill>
      <patternFill patternType="solid">
        <fgColor rgb="FFD4EDDA"/>
        <bgColor rgb="FFD0D7DE"/>
      </patternFill>
    </fill>
    <fill>
      <patternFill patternType="solid">
        <fgColor rgb="FFFFF3CD"/>
        <bgColor rgb="FFFFFFFF"/>
      </patternFill>
    </fill>
    <fill>
      <patternFill patternType="solid">
        <fgColor rgb="FFF8D7DA"/>
        <bgColor rgb="FFD0D7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976D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55724"/>
          <bgColor rgb="FF000000"/>
        </patternFill>
      </fill>
    </dxf>
    <dxf>
      <fill>
        <patternFill patternType="solid">
          <fgColor rgb="FF721C24"/>
          <bgColor rgb="FF000000"/>
        </patternFill>
      </fill>
    </dxf>
    <dxf>
      <fill>
        <patternFill patternType="solid">
          <fgColor rgb="FF85640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1976D2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155724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24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n">
        <v>60</v>
      </c>
      <c r="C6" s="6" t="n">
        <v>1</v>
      </c>
      <c r="D6" s="5"/>
    </row>
    <row r="7" customFormat="false" ht="15" hidden="false" customHeight="false" outlineLevel="0" collapsed="false">
      <c r="A7" s="5" t="s">
        <v>8</v>
      </c>
      <c r="B7" s="5" t="n">
        <v>50</v>
      </c>
      <c r="C7" s="6" t="n">
        <v>0.833333333333333</v>
      </c>
      <c r="D7" s="6" t="n">
        <v>1</v>
      </c>
    </row>
    <row r="8" customFormat="false" ht="15" hidden="false" customHeight="false" outlineLevel="0" collapsed="false">
      <c r="A8" s="5" t="s">
        <v>9</v>
      </c>
      <c r="B8" s="5" t="n">
        <v>10</v>
      </c>
      <c r="C8" s="6" t="n">
        <v>0.166666666666667</v>
      </c>
      <c r="D8" s="6" t="n">
        <v>0.2</v>
      </c>
    </row>
    <row r="9" customFormat="false" ht="15" hidden="false" customHeight="false" outlineLevel="0" collapsed="false">
      <c r="A9" s="5" t="s">
        <v>10</v>
      </c>
      <c r="B9" s="5" t="n">
        <v>40</v>
      </c>
      <c r="C9" s="6" t="n">
        <v>0.666666666666667</v>
      </c>
      <c r="D9" s="6" t="n">
        <v>0.8</v>
      </c>
    </row>
    <row r="11" customFormat="false" ht="15" hidden="false" customHeight="false" outlineLevel="0" collapsed="false">
      <c r="A11" s="3" t="s">
        <v>11</v>
      </c>
    </row>
    <row r="12" customFormat="false" ht="24" hidden="false" customHeight="true" outlineLevel="0" collapsed="false">
      <c r="A12" s="4" t="s">
        <v>12</v>
      </c>
      <c r="B12" s="4" t="s">
        <v>13</v>
      </c>
      <c r="C12" s="4" t="s">
        <v>14</v>
      </c>
      <c r="D12" s="4"/>
    </row>
    <row r="13" customFormat="false" ht="15" hidden="false" customHeight="false" outlineLevel="0" collapsed="false">
      <c r="A13" s="5" t="s">
        <v>15</v>
      </c>
      <c r="B13" s="5" t="n">
        <f aca="false">COUNTIF('Все исполнители'!K:K,A13)</f>
        <v>2</v>
      </c>
      <c r="C13" s="6" t="n">
        <f aca="false">B13/SUM($B$13:$B$17)</f>
        <v>0.2</v>
      </c>
    </row>
    <row r="14" customFormat="false" ht="15" hidden="false" customHeight="false" outlineLevel="0" collapsed="false">
      <c r="A14" s="5" t="s">
        <v>16</v>
      </c>
      <c r="B14" s="5" t="n">
        <f aca="false">COUNTIF('Все исполнители'!K:K,A14)</f>
        <v>2</v>
      </c>
      <c r="C14" s="6" t="n">
        <f aca="false">B14/SUM($B$13:$B$17)</f>
        <v>0.2</v>
      </c>
    </row>
    <row r="15" customFormat="false" ht="15" hidden="false" customHeight="false" outlineLevel="0" collapsed="false">
      <c r="A15" s="5" t="s">
        <v>17</v>
      </c>
      <c r="B15" s="5" t="n">
        <f aca="false">COUNTIF('Все исполнители'!K:K,A15)</f>
        <v>0</v>
      </c>
      <c r="C15" s="6" t="n">
        <f aca="false">B15/SUM($B$13:$B$17)</f>
        <v>0</v>
      </c>
    </row>
    <row r="16" customFormat="false" ht="15" hidden="false" customHeight="false" outlineLevel="0" collapsed="false">
      <c r="A16" s="5" t="s">
        <v>18</v>
      </c>
      <c r="B16" s="5" t="n">
        <f aca="false">COUNTIF('Все исполнители'!K:K,A16)</f>
        <v>2</v>
      </c>
      <c r="C16" s="6" t="n">
        <f aca="false">B16/SUM($B$13:$B$17)</f>
        <v>0.2</v>
      </c>
    </row>
    <row r="17" customFormat="false" ht="15" hidden="false" customHeight="false" outlineLevel="0" collapsed="false">
      <c r="A17" s="5" t="s">
        <v>19</v>
      </c>
      <c r="B17" s="5" t="n">
        <f aca="false">COUNTIF('Все исполнители'!K:K,A17)</f>
        <v>4</v>
      </c>
      <c r="C17" s="6" t="n">
        <f aca="false">B17/SUM($B$13:$B$17)</f>
        <v>0.4</v>
      </c>
    </row>
    <row r="19" customFormat="false" ht="15" hidden="false" customHeight="false" outlineLevel="0" collapsed="false">
      <c r="A19" s="3" t="s">
        <v>20</v>
      </c>
    </row>
    <row r="20" customFormat="false" ht="24" hidden="false" customHeight="true" outlineLevel="0" collapsed="false">
      <c r="A20" s="4" t="s">
        <v>21</v>
      </c>
      <c r="B20" s="4" t="s">
        <v>22</v>
      </c>
      <c r="C20" s="4" t="s">
        <v>14</v>
      </c>
      <c r="D20" s="4"/>
    </row>
    <row r="21" customFormat="false" ht="15" hidden="false" customHeight="false" outlineLevel="0" collapsed="false">
      <c r="A21" s="5" t="s">
        <v>23</v>
      </c>
      <c r="B21" s="5" t="n">
        <f aca="false">COUNTIFS('Все исполнители'!D:D,A21,'Все исполнители'!J:J,"Прошёл опрос")</f>
        <v>1</v>
      </c>
      <c r="C21" s="6" t="n">
        <f aca="false">B21/SUM($B$21:$B$26)</f>
        <v>0.1</v>
      </c>
    </row>
    <row r="22" customFormat="false" ht="15" hidden="false" customHeight="false" outlineLevel="0" collapsed="false">
      <c r="A22" s="5" t="s">
        <v>24</v>
      </c>
      <c r="B22" s="5" t="n">
        <f aca="false">COUNTIFS('Все исполнители'!D:D,A22,'Все исполнители'!J:J,"Прошёл опрос")</f>
        <v>1</v>
      </c>
      <c r="C22" s="6" t="n">
        <f aca="false">B22/SUM($B$21:$B$26)</f>
        <v>0.1</v>
      </c>
    </row>
    <row r="23" customFormat="false" ht="15" hidden="false" customHeight="false" outlineLevel="0" collapsed="false">
      <c r="A23" s="5" t="s">
        <v>25</v>
      </c>
      <c r="B23" s="5" t="n">
        <f aca="false">COUNTIFS('Все исполнители'!D:D,A23,'Все исполнители'!J:J,"Прошёл опрос")</f>
        <v>0</v>
      </c>
      <c r="C23" s="6" t="n">
        <f aca="false">B23/SUM($B$21:$B$26)</f>
        <v>0</v>
      </c>
    </row>
    <row r="24" customFormat="false" ht="15" hidden="false" customHeight="false" outlineLevel="0" collapsed="false">
      <c r="A24" s="5" t="s">
        <v>26</v>
      </c>
      <c r="B24" s="5" t="n">
        <f aca="false">COUNTIFS('Все исполнители'!D:D,A24,'Все исполнители'!J:J,"Прошёл опрос")</f>
        <v>2</v>
      </c>
      <c r="C24" s="6" t="n">
        <f aca="false">B24/SUM($B$21:$B$26)</f>
        <v>0.2</v>
      </c>
    </row>
    <row r="25" customFormat="false" ht="15" hidden="false" customHeight="false" outlineLevel="0" collapsed="false">
      <c r="A25" s="5" t="s">
        <v>27</v>
      </c>
      <c r="B25" s="5" t="n">
        <f aca="false">COUNTIFS('Все исполнители'!D:D,A25,'Все исполнители'!J:J,"Прошёл опрос")</f>
        <v>5</v>
      </c>
      <c r="C25" s="6" t="n">
        <f aca="false">B25/SUM($B$21:$B$26)</f>
        <v>0.5</v>
      </c>
    </row>
    <row r="26" customFormat="false" ht="15" hidden="false" customHeight="false" outlineLevel="0" collapsed="false">
      <c r="A26" s="5" t="s">
        <v>28</v>
      </c>
      <c r="B26" s="5" t="n">
        <f aca="false">COUNTIFS('Все исполнители'!D:D,A26,'Все исполнители'!J:J,"Прошёл опрос")</f>
        <v>1</v>
      </c>
      <c r="C26" s="6" t="n">
        <f aca="false">B26/SUM($B$21:$B$26)</f>
        <v>0.1</v>
      </c>
    </row>
    <row r="28" customFormat="false" ht="15" hidden="false" customHeight="false" outlineLevel="0" collapsed="false">
      <c r="A28" s="7" t="s">
        <v>29</v>
      </c>
      <c r="B28" s="7"/>
      <c r="C28" s="7"/>
      <c r="D28" s="7"/>
    </row>
  </sheetData>
  <mergeCells count="3">
    <mergeCell ref="A1:D1"/>
    <mergeCell ref="A2:D2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2" min="12" style="0" width="18"/>
    <col collapsed="false" customWidth="true" hidden="false" outlineLevel="0" max="13" min="13" style="0" width="10"/>
  </cols>
  <sheetData>
    <row r="1" customFormat="false" ht="36" hidden="false" customHeight="true" outlineLevel="0" collapsed="false">
      <c r="A1" s="4" t="s">
        <v>30</v>
      </c>
      <c r="B1" s="4" t="s">
        <v>31</v>
      </c>
      <c r="C1" s="4" t="s">
        <v>32</v>
      </c>
      <c r="D1" s="4" t="s">
        <v>21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</row>
    <row r="2" customFormat="false" ht="15" hidden="false" customHeight="false" outlineLevel="0" collapsed="false">
      <c r="A2" s="8" t="n">
        <v>10001</v>
      </c>
      <c r="B2" s="9" t="s">
        <v>42</v>
      </c>
      <c r="C2" s="9" t="s">
        <v>43</v>
      </c>
      <c r="D2" s="9" t="s">
        <v>24</v>
      </c>
      <c r="E2" s="9" t="s">
        <v>44</v>
      </c>
      <c r="F2" s="8" t="n">
        <v>6</v>
      </c>
      <c r="G2" s="8" t="n">
        <v>75</v>
      </c>
      <c r="H2" s="8" t="s">
        <v>45</v>
      </c>
      <c r="I2" s="8" t="n">
        <v>0.8</v>
      </c>
      <c r="J2" s="10" t="s">
        <v>46</v>
      </c>
      <c r="K2" s="9" t="s">
        <v>19</v>
      </c>
      <c r="L2" s="9" t="s">
        <v>47</v>
      </c>
      <c r="M2" s="8"/>
    </row>
    <row r="3" customFormat="false" ht="15" hidden="false" customHeight="false" outlineLevel="0" collapsed="false">
      <c r="A3" s="8" t="n">
        <v>10002</v>
      </c>
      <c r="B3" s="9" t="s">
        <v>48</v>
      </c>
      <c r="C3" s="9" t="s">
        <v>49</v>
      </c>
      <c r="D3" s="9" t="s">
        <v>28</v>
      </c>
      <c r="E3" s="9" t="s">
        <v>50</v>
      </c>
      <c r="F3" s="8" t="n">
        <v>22</v>
      </c>
      <c r="G3" s="8" t="n">
        <v>35</v>
      </c>
      <c r="H3" s="8" t="s">
        <v>45</v>
      </c>
      <c r="I3" s="8" t="n">
        <v>11.5</v>
      </c>
      <c r="J3" s="11" t="s">
        <v>51</v>
      </c>
      <c r="K3" s="9"/>
      <c r="L3" s="9"/>
      <c r="M3" s="8" t="s">
        <v>52</v>
      </c>
    </row>
    <row r="4" customFormat="false" ht="15" hidden="false" customHeight="false" outlineLevel="0" collapsed="false">
      <c r="A4" s="8" t="n">
        <v>10003</v>
      </c>
      <c r="B4" s="9" t="s">
        <v>53</v>
      </c>
      <c r="C4" s="9" t="s">
        <v>54</v>
      </c>
      <c r="D4" s="9" t="s">
        <v>27</v>
      </c>
      <c r="E4" s="9" t="s">
        <v>55</v>
      </c>
      <c r="F4" s="8" t="n">
        <v>25</v>
      </c>
      <c r="G4" s="8" t="n">
        <v>10</v>
      </c>
      <c r="H4" s="8" t="s">
        <v>45</v>
      </c>
      <c r="I4" s="8" t="n">
        <v>10</v>
      </c>
      <c r="J4" s="11" t="s">
        <v>51</v>
      </c>
      <c r="K4" s="9"/>
      <c r="L4" s="9"/>
      <c r="M4" s="8"/>
    </row>
    <row r="5" customFormat="false" ht="15" hidden="false" customHeight="false" outlineLevel="0" collapsed="false">
      <c r="A5" s="8" t="n">
        <v>10004</v>
      </c>
      <c r="B5" s="9" t="s">
        <v>56</v>
      </c>
      <c r="C5" s="9" t="s">
        <v>57</v>
      </c>
      <c r="D5" s="9" t="s">
        <v>26</v>
      </c>
      <c r="E5" s="9" t="s">
        <v>58</v>
      </c>
      <c r="F5" s="8" t="n">
        <v>7</v>
      </c>
      <c r="G5" s="8" t="n">
        <v>48</v>
      </c>
      <c r="H5" s="8" t="s">
        <v>45</v>
      </c>
      <c r="I5" s="8" t="n">
        <v>7.8</v>
      </c>
      <c r="J5" s="11" t="s">
        <v>51</v>
      </c>
      <c r="K5" s="9"/>
      <c r="L5" s="9"/>
      <c r="M5" s="8"/>
    </row>
    <row r="6" customFormat="false" ht="15" hidden="false" customHeight="false" outlineLevel="0" collapsed="false">
      <c r="A6" s="8" t="n">
        <v>10005</v>
      </c>
      <c r="B6" s="9" t="s">
        <v>59</v>
      </c>
      <c r="C6" s="9" t="s">
        <v>60</v>
      </c>
      <c r="D6" s="9" t="s">
        <v>27</v>
      </c>
      <c r="E6" s="9" t="s">
        <v>58</v>
      </c>
      <c r="F6" s="8" t="n">
        <v>35</v>
      </c>
      <c r="G6" s="8" t="n">
        <v>93</v>
      </c>
      <c r="H6" s="8" t="s">
        <v>45</v>
      </c>
      <c r="I6" s="8" t="n">
        <v>5.8</v>
      </c>
      <c r="J6" s="10" t="s">
        <v>46</v>
      </c>
      <c r="K6" s="9" t="s">
        <v>19</v>
      </c>
      <c r="L6" s="9" t="s">
        <v>61</v>
      </c>
      <c r="M6" s="8"/>
    </row>
    <row r="7" customFormat="false" ht="15" hidden="false" customHeight="false" outlineLevel="0" collapsed="false">
      <c r="A7" s="8" t="n">
        <v>10006</v>
      </c>
      <c r="B7" s="9" t="s">
        <v>62</v>
      </c>
      <c r="C7" s="9" t="s">
        <v>63</v>
      </c>
      <c r="D7" s="9" t="s">
        <v>28</v>
      </c>
      <c r="E7" s="9" t="s">
        <v>44</v>
      </c>
      <c r="F7" s="8" t="n">
        <v>21</v>
      </c>
      <c r="G7" s="8" t="n">
        <v>27</v>
      </c>
      <c r="H7" s="8" t="s">
        <v>45</v>
      </c>
      <c r="I7" s="8" t="n">
        <v>5</v>
      </c>
      <c r="J7" s="11" t="s">
        <v>51</v>
      </c>
      <c r="K7" s="9"/>
      <c r="L7" s="9"/>
      <c r="M7" s="8"/>
    </row>
    <row r="8" customFormat="false" ht="15" hidden="false" customHeight="false" outlineLevel="0" collapsed="false">
      <c r="A8" s="8" t="n">
        <v>10007</v>
      </c>
      <c r="B8" s="9" t="s">
        <v>64</v>
      </c>
      <c r="C8" s="9" t="s">
        <v>65</v>
      </c>
      <c r="D8" s="9" t="s">
        <v>23</v>
      </c>
      <c r="E8" s="9" t="s">
        <v>44</v>
      </c>
      <c r="F8" s="8" t="n">
        <v>26</v>
      </c>
      <c r="G8" s="8" t="n">
        <v>46</v>
      </c>
      <c r="H8" s="8" t="s">
        <v>45</v>
      </c>
      <c r="I8" s="8" t="n">
        <v>12</v>
      </c>
      <c r="J8" s="11" t="s">
        <v>51</v>
      </c>
      <c r="K8" s="9"/>
      <c r="L8" s="9"/>
      <c r="M8" s="8" t="s">
        <v>52</v>
      </c>
    </row>
    <row r="9" customFormat="false" ht="15" hidden="false" customHeight="false" outlineLevel="0" collapsed="false">
      <c r="A9" s="8" t="n">
        <v>10008</v>
      </c>
      <c r="B9" s="9" t="s">
        <v>66</v>
      </c>
      <c r="C9" s="9" t="s">
        <v>67</v>
      </c>
      <c r="D9" s="9" t="s">
        <v>23</v>
      </c>
      <c r="E9" s="9" t="s">
        <v>50</v>
      </c>
      <c r="F9" s="8" t="n">
        <v>30</v>
      </c>
      <c r="G9" s="8" t="n">
        <v>67</v>
      </c>
      <c r="H9" s="8" t="s">
        <v>45</v>
      </c>
      <c r="I9" s="8" t="n">
        <v>6.9</v>
      </c>
      <c r="J9" s="11" t="s">
        <v>51</v>
      </c>
      <c r="K9" s="9"/>
      <c r="L9" s="9"/>
      <c r="M9" s="8"/>
    </row>
    <row r="10" customFormat="false" ht="15" hidden="false" customHeight="false" outlineLevel="0" collapsed="false">
      <c r="A10" s="8" t="n">
        <v>10009</v>
      </c>
      <c r="B10" s="9" t="s">
        <v>68</v>
      </c>
      <c r="C10" s="9" t="s">
        <v>69</v>
      </c>
      <c r="D10" s="9" t="s">
        <v>26</v>
      </c>
      <c r="E10" s="9" t="s">
        <v>70</v>
      </c>
      <c r="F10" s="8" t="n">
        <v>28</v>
      </c>
      <c r="G10" s="8" t="n">
        <v>20</v>
      </c>
      <c r="H10" s="8" t="s">
        <v>45</v>
      </c>
      <c r="I10" s="8" t="n">
        <v>11.5</v>
      </c>
      <c r="J10" s="11" t="s">
        <v>51</v>
      </c>
      <c r="K10" s="9"/>
      <c r="L10" s="9"/>
      <c r="M10" s="8"/>
    </row>
    <row r="11" customFormat="false" ht="15" hidden="false" customHeight="false" outlineLevel="0" collapsed="false">
      <c r="A11" s="8" t="n">
        <v>10010</v>
      </c>
      <c r="B11" s="9" t="s">
        <v>71</v>
      </c>
      <c r="C11" s="9" t="s">
        <v>72</v>
      </c>
      <c r="D11" s="9" t="s">
        <v>24</v>
      </c>
      <c r="E11" s="9" t="s">
        <v>44</v>
      </c>
      <c r="F11" s="8" t="n">
        <v>13</v>
      </c>
      <c r="G11" s="8" t="n">
        <v>19</v>
      </c>
      <c r="H11" s="8" t="s">
        <v>45</v>
      </c>
      <c r="I11" s="8" t="n">
        <v>2.4</v>
      </c>
      <c r="J11" s="11" t="s">
        <v>51</v>
      </c>
      <c r="K11" s="9"/>
      <c r="L11" s="9"/>
      <c r="M11" s="8"/>
    </row>
    <row r="12" customFormat="false" ht="15" hidden="false" customHeight="false" outlineLevel="0" collapsed="false">
      <c r="A12" s="8" t="n">
        <v>10011</v>
      </c>
      <c r="B12" s="9" t="s">
        <v>73</v>
      </c>
      <c r="C12" s="9" t="s">
        <v>74</v>
      </c>
      <c r="D12" s="9" t="s">
        <v>25</v>
      </c>
      <c r="E12" s="9" t="s">
        <v>58</v>
      </c>
      <c r="F12" s="8" t="n">
        <v>4</v>
      </c>
      <c r="G12" s="8" t="n">
        <v>30</v>
      </c>
      <c r="H12" s="8" t="s">
        <v>75</v>
      </c>
      <c r="I12" s="8"/>
      <c r="J12" s="12" t="s">
        <v>76</v>
      </c>
      <c r="K12" s="9"/>
      <c r="L12" s="9"/>
      <c r="M12" s="8"/>
    </row>
    <row r="13" customFormat="false" ht="15" hidden="false" customHeight="false" outlineLevel="0" collapsed="false">
      <c r="A13" s="8" t="n">
        <v>10012</v>
      </c>
      <c r="B13" s="9" t="s">
        <v>77</v>
      </c>
      <c r="C13" s="9" t="s">
        <v>78</v>
      </c>
      <c r="D13" s="9" t="s">
        <v>28</v>
      </c>
      <c r="E13" s="9" t="s">
        <v>50</v>
      </c>
      <c r="F13" s="8" t="n">
        <v>36</v>
      </c>
      <c r="G13" s="8" t="n">
        <v>21</v>
      </c>
      <c r="H13" s="8" t="s">
        <v>45</v>
      </c>
      <c r="I13" s="8" t="n">
        <v>10.5</v>
      </c>
      <c r="J13" s="11" t="s">
        <v>51</v>
      </c>
      <c r="K13" s="9"/>
      <c r="L13" s="9"/>
      <c r="M13" s="8"/>
    </row>
    <row r="14" customFormat="false" ht="15" hidden="false" customHeight="false" outlineLevel="0" collapsed="false">
      <c r="A14" s="8" t="n">
        <v>10013</v>
      </c>
      <c r="B14" s="9" t="s">
        <v>79</v>
      </c>
      <c r="C14" s="9" t="s">
        <v>80</v>
      </c>
      <c r="D14" s="9" t="s">
        <v>25</v>
      </c>
      <c r="E14" s="9" t="s">
        <v>50</v>
      </c>
      <c r="F14" s="8" t="n">
        <v>34</v>
      </c>
      <c r="G14" s="8" t="n">
        <v>57</v>
      </c>
      <c r="H14" s="8" t="s">
        <v>45</v>
      </c>
      <c r="I14" s="8" t="n">
        <v>3.1</v>
      </c>
      <c r="J14" s="11" t="s">
        <v>51</v>
      </c>
      <c r="K14" s="9"/>
      <c r="L14" s="9"/>
      <c r="M14" s="8"/>
    </row>
    <row r="15" customFormat="false" ht="15" hidden="false" customHeight="false" outlineLevel="0" collapsed="false">
      <c r="A15" s="8" t="n">
        <v>10014</v>
      </c>
      <c r="B15" s="9" t="s">
        <v>81</v>
      </c>
      <c r="C15" s="9" t="s">
        <v>82</v>
      </c>
      <c r="D15" s="9" t="s">
        <v>28</v>
      </c>
      <c r="E15" s="9" t="s">
        <v>55</v>
      </c>
      <c r="F15" s="8" t="n">
        <v>3</v>
      </c>
      <c r="G15" s="8" t="n">
        <v>110</v>
      </c>
      <c r="H15" s="8" t="s">
        <v>45</v>
      </c>
      <c r="I15" s="8" t="n">
        <v>6.4</v>
      </c>
      <c r="J15" s="10" t="s">
        <v>46</v>
      </c>
      <c r="K15" s="9" t="s">
        <v>18</v>
      </c>
      <c r="L15" s="9" t="s">
        <v>83</v>
      </c>
      <c r="M15" s="8"/>
    </row>
    <row r="16" customFormat="false" ht="15" hidden="false" customHeight="false" outlineLevel="0" collapsed="false">
      <c r="A16" s="8" t="n">
        <v>10015</v>
      </c>
      <c r="B16" s="9" t="s">
        <v>84</v>
      </c>
      <c r="C16" s="9" t="s">
        <v>85</v>
      </c>
      <c r="D16" s="9" t="s">
        <v>28</v>
      </c>
      <c r="E16" s="9" t="s">
        <v>55</v>
      </c>
      <c r="F16" s="8" t="n">
        <v>7</v>
      </c>
      <c r="G16" s="8" t="n">
        <v>84</v>
      </c>
      <c r="H16" s="8" t="s">
        <v>45</v>
      </c>
      <c r="I16" s="8" t="n">
        <v>5.4</v>
      </c>
      <c r="J16" s="11" t="s">
        <v>51</v>
      </c>
      <c r="K16" s="9"/>
      <c r="L16" s="9"/>
      <c r="M16" s="8"/>
    </row>
    <row r="17" customFormat="false" ht="15" hidden="false" customHeight="false" outlineLevel="0" collapsed="false">
      <c r="A17" s="8" t="n">
        <v>10016</v>
      </c>
      <c r="B17" s="9" t="s">
        <v>86</v>
      </c>
      <c r="C17" s="9" t="s">
        <v>87</v>
      </c>
      <c r="D17" s="9" t="s">
        <v>28</v>
      </c>
      <c r="E17" s="9" t="s">
        <v>58</v>
      </c>
      <c r="F17" s="8" t="n">
        <v>35</v>
      </c>
      <c r="G17" s="8" t="n">
        <v>57</v>
      </c>
      <c r="H17" s="8" t="s">
        <v>45</v>
      </c>
      <c r="I17" s="8" t="n">
        <v>2.6</v>
      </c>
      <c r="J17" s="11" t="s">
        <v>51</v>
      </c>
      <c r="K17" s="9"/>
      <c r="L17" s="9"/>
      <c r="M17" s="8"/>
    </row>
    <row r="18" customFormat="false" ht="15" hidden="false" customHeight="false" outlineLevel="0" collapsed="false">
      <c r="A18" s="8" t="n">
        <v>10017</v>
      </c>
      <c r="B18" s="9" t="s">
        <v>88</v>
      </c>
      <c r="C18" s="9" t="s">
        <v>89</v>
      </c>
      <c r="D18" s="9" t="s">
        <v>26</v>
      </c>
      <c r="E18" s="9" t="s">
        <v>55</v>
      </c>
      <c r="F18" s="8" t="n">
        <v>16</v>
      </c>
      <c r="G18" s="8" t="n">
        <v>21</v>
      </c>
      <c r="H18" s="8" t="s">
        <v>45</v>
      </c>
      <c r="I18" s="8" t="n">
        <v>6</v>
      </c>
      <c r="J18" s="11" t="s">
        <v>51</v>
      </c>
      <c r="K18" s="9"/>
      <c r="L18" s="9"/>
      <c r="M18" s="8"/>
    </row>
    <row r="19" customFormat="false" ht="15" hidden="false" customHeight="false" outlineLevel="0" collapsed="false">
      <c r="A19" s="8" t="n">
        <v>10018</v>
      </c>
      <c r="B19" s="9" t="s">
        <v>90</v>
      </c>
      <c r="C19" s="9" t="s">
        <v>91</v>
      </c>
      <c r="D19" s="9" t="s">
        <v>23</v>
      </c>
      <c r="E19" s="9" t="s">
        <v>44</v>
      </c>
      <c r="F19" s="8" t="n">
        <v>32</v>
      </c>
      <c r="G19" s="8" t="n">
        <v>19</v>
      </c>
      <c r="H19" s="8" t="s">
        <v>45</v>
      </c>
      <c r="I19" s="8" t="n">
        <v>3</v>
      </c>
      <c r="J19" s="10" t="s">
        <v>46</v>
      </c>
      <c r="K19" s="9" t="s">
        <v>19</v>
      </c>
      <c r="L19" s="9" t="s">
        <v>92</v>
      </c>
      <c r="M19" s="8" t="s">
        <v>93</v>
      </c>
    </row>
    <row r="20" customFormat="false" ht="15" hidden="false" customHeight="false" outlineLevel="0" collapsed="false">
      <c r="A20" s="8" t="n">
        <v>10019</v>
      </c>
      <c r="B20" s="9" t="s">
        <v>94</v>
      </c>
      <c r="C20" s="9" t="s">
        <v>95</v>
      </c>
      <c r="D20" s="9" t="s">
        <v>28</v>
      </c>
      <c r="E20" s="9" t="s">
        <v>55</v>
      </c>
      <c r="F20" s="8" t="n">
        <v>5</v>
      </c>
      <c r="G20" s="8" t="n">
        <v>86</v>
      </c>
      <c r="H20" s="8" t="s">
        <v>75</v>
      </c>
      <c r="I20" s="8"/>
      <c r="J20" s="12" t="s">
        <v>76</v>
      </c>
      <c r="K20" s="9"/>
      <c r="L20" s="9"/>
      <c r="M20" s="8"/>
    </row>
    <row r="21" customFormat="false" ht="15" hidden="false" customHeight="false" outlineLevel="0" collapsed="false">
      <c r="A21" s="8" t="n">
        <v>10020</v>
      </c>
      <c r="B21" s="9" t="s">
        <v>96</v>
      </c>
      <c r="C21" s="9" t="s">
        <v>97</v>
      </c>
      <c r="D21" s="9" t="s">
        <v>27</v>
      </c>
      <c r="E21" s="9" t="s">
        <v>55</v>
      </c>
      <c r="F21" s="8" t="n">
        <v>27</v>
      </c>
      <c r="G21" s="8" t="n">
        <v>84</v>
      </c>
      <c r="H21" s="8" t="s">
        <v>45</v>
      </c>
      <c r="I21" s="8" t="n">
        <v>6.5</v>
      </c>
      <c r="J21" s="11" t="s">
        <v>51</v>
      </c>
      <c r="K21" s="9"/>
      <c r="L21" s="9"/>
      <c r="M21" s="8"/>
    </row>
    <row r="22" customFormat="false" ht="15" hidden="false" customHeight="false" outlineLevel="0" collapsed="false">
      <c r="A22" s="8" t="n">
        <v>10021</v>
      </c>
      <c r="B22" s="9" t="s">
        <v>98</v>
      </c>
      <c r="C22" s="9" t="s">
        <v>99</v>
      </c>
      <c r="D22" s="9" t="s">
        <v>25</v>
      </c>
      <c r="E22" s="9" t="s">
        <v>50</v>
      </c>
      <c r="F22" s="8" t="n">
        <v>21</v>
      </c>
      <c r="G22" s="8" t="n">
        <v>118</v>
      </c>
      <c r="H22" s="8" t="s">
        <v>75</v>
      </c>
      <c r="I22" s="8"/>
      <c r="J22" s="12" t="s">
        <v>76</v>
      </c>
      <c r="K22" s="9"/>
      <c r="L22" s="9"/>
      <c r="M22" s="8"/>
    </row>
    <row r="23" customFormat="false" ht="15" hidden="false" customHeight="false" outlineLevel="0" collapsed="false">
      <c r="A23" s="8" t="n">
        <v>10022</v>
      </c>
      <c r="B23" s="9" t="s">
        <v>100</v>
      </c>
      <c r="C23" s="9" t="s">
        <v>101</v>
      </c>
      <c r="D23" s="9" t="s">
        <v>27</v>
      </c>
      <c r="E23" s="9" t="s">
        <v>58</v>
      </c>
      <c r="F23" s="8" t="n">
        <v>33</v>
      </c>
      <c r="G23" s="8" t="n">
        <v>33</v>
      </c>
      <c r="H23" s="8" t="s">
        <v>45</v>
      </c>
      <c r="I23" s="8" t="n">
        <v>4.5</v>
      </c>
      <c r="J23" s="10" t="s">
        <v>46</v>
      </c>
      <c r="K23" s="9" t="s">
        <v>16</v>
      </c>
      <c r="L23" s="9" t="s">
        <v>102</v>
      </c>
      <c r="M23" s="8"/>
    </row>
    <row r="24" customFormat="false" ht="15" hidden="false" customHeight="false" outlineLevel="0" collapsed="false">
      <c r="A24" s="8" t="n">
        <v>10023</v>
      </c>
      <c r="B24" s="9" t="s">
        <v>103</v>
      </c>
      <c r="C24" s="9" t="s">
        <v>104</v>
      </c>
      <c r="D24" s="9" t="s">
        <v>26</v>
      </c>
      <c r="E24" s="9" t="s">
        <v>44</v>
      </c>
      <c r="F24" s="8" t="n">
        <v>20</v>
      </c>
      <c r="G24" s="8" t="n">
        <v>119</v>
      </c>
      <c r="H24" s="8" t="s">
        <v>45</v>
      </c>
      <c r="I24" s="8" t="n">
        <v>11.3</v>
      </c>
      <c r="J24" s="10" t="s">
        <v>46</v>
      </c>
      <c r="K24" s="9" t="s">
        <v>15</v>
      </c>
      <c r="L24" s="9" t="s">
        <v>105</v>
      </c>
      <c r="M24" s="8" t="s">
        <v>106</v>
      </c>
    </row>
    <row r="25" customFormat="false" ht="15" hidden="false" customHeight="false" outlineLevel="0" collapsed="false">
      <c r="A25" s="8" t="n">
        <v>10024</v>
      </c>
      <c r="B25" s="9" t="s">
        <v>107</v>
      </c>
      <c r="C25" s="9" t="s">
        <v>108</v>
      </c>
      <c r="D25" s="9" t="s">
        <v>27</v>
      </c>
      <c r="E25" s="9" t="s">
        <v>50</v>
      </c>
      <c r="F25" s="8" t="n">
        <v>17</v>
      </c>
      <c r="G25" s="8" t="n">
        <v>115</v>
      </c>
      <c r="H25" s="8" t="s">
        <v>75</v>
      </c>
      <c r="I25" s="8"/>
      <c r="J25" s="12" t="s">
        <v>76</v>
      </c>
      <c r="K25" s="9"/>
      <c r="L25" s="9"/>
      <c r="M25" s="8"/>
    </row>
    <row r="26" customFormat="false" ht="15" hidden="false" customHeight="false" outlineLevel="0" collapsed="false">
      <c r="A26" s="8" t="n">
        <v>10025</v>
      </c>
      <c r="B26" s="9" t="s">
        <v>109</v>
      </c>
      <c r="C26" s="9" t="s">
        <v>110</v>
      </c>
      <c r="D26" s="9" t="s">
        <v>28</v>
      </c>
      <c r="E26" s="9" t="s">
        <v>70</v>
      </c>
      <c r="F26" s="8" t="n">
        <v>11</v>
      </c>
      <c r="G26" s="8" t="n">
        <v>94</v>
      </c>
      <c r="H26" s="8" t="s">
        <v>45</v>
      </c>
      <c r="I26" s="8" t="n">
        <v>8.6</v>
      </c>
      <c r="J26" s="11" t="s">
        <v>51</v>
      </c>
      <c r="K26" s="9"/>
      <c r="L26" s="9"/>
      <c r="M26" s="8" t="s">
        <v>93</v>
      </c>
    </row>
    <row r="27" customFormat="false" ht="15" hidden="false" customHeight="false" outlineLevel="0" collapsed="false">
      <c r="A27" s="8" t="n">
        <v>10026</v>
      </c>
      <c r="B27" s="9" t="s">
        <v>111</v>
      </c>
      <c r="C27" s="9" t="s">
        <v>112</v>
      </c>
      <c r="D27" s="9" t="s">
        <v>23</v>
      </c>
      <c r="E27" s="9" t="s">
        <v>58</v>
      </c>
      <c r="F27" s="8" t="n">
        <v>3</v>
      </c>
      <c r="G27" s="8" t="n">
        <v>39</v>
      </c>
      <c r="H27" s="8" t="s">
        <v>45</v>
      </c>
      <c r="I27" s="8" t="n">
        <v>11.2</v>
      </c>
      <c r="J27" s="11" t="s">
        <v>51</v>
      </c>
      <c r="K27" s="9"/>
      <c r="L27" s="9"/>
      <c r="M27" s="8" t="s">
        <v>106</v>
      </c>
    </row>
    <row r="28" customFormat="false" ht="15" hidden="false" customHeight="false" outlineLevel="0" collapsed="false">
      <c r="A28" s="8" t="n">
        <v>10027</v>
      </c>
      <c r="B28" s="9" t="s">
        <v>113</v>
      </c>
      <c r="C28" s="9" t="s">
        <v>114</v>
      </c>
      <c r="D28" s="9" t="s">
        <v>23</v>
      </c>
      <c r="E28" s="9" t="s">
        <v>44</v>
      </c>
      <c r="F28" s="8" t="n">
        <v>10</v>
      </c>
      <c r="G28" s="8" t="n">
        <v>118</v>
      </c>
      <c r="H28" s="8" t="s">
        <v>75</v>
      </c>
      <c r="I28" s="8"/>
      <c r="J28" s="12" t="s">
        <v>76</v>
      </c>
      <c r="K28" s="9"/>
      <c r="L28" s="9"/>
      <c r="M28" s="8"/>
    </row>
    <row r="29" customFormat="false" ht="15" hidden="false" customHeight="false" outlineLevel="0" collapsed="false">
      <c r="A29" s="8" t="n">
        <v>10028</v>
      </c>
      <c r="B29" s="9" t="s">
        <v>115</v>
      </c>
      <c r="C29" s="9" t="s">
        <v>116</v>
      </c>
      <c r="D29" s="9" t="s">
        <v>23</v>
      </c>
      <c r="E29" s="9" t="s">
        <v>58</v>
      </c>
      <c r="F29" s="8" t="n">
        <v>18</v>
      </c>
      <c r="G29" s="8" t="n">
        <v>20</v>
      </c>
      <c r="H29" s="8" t="s">
        <v>75</v>
      </c>
      <c r="I29" s="8"/>
      <c r="J29" s="12" t="s">
        <v>76</v>
      </c>
      <c r="K29" s="9"/>
      <c r="L29" s="9"/>
      <c r="M29" s="8"/>
    </row>
    <row r="30" customFormat="false" ht="15" hidden="false" customHeight="false" outlineLevel="0" collapsed="false">
      <c r="A30" s="8" t="n">
        <v>10029</v>
      </c>
      <c r="B30" s="9" t="s">
        <v>117</v>
      </c>
      <c r="C30" s="9" t="s">
        <v>118</v>
      </c>
      <c r="D30" s="9" t="s">
        <v>25</v>
      </c>
      <c r="E30" s="9" t="s">
        <v>70</v>
      </c>
      <c r="F30" s="8" t="n">
        <v>15</v>
      </c>
      <c r="G30" s="8" t="n">
        <v>28</v>
      </c>
      <c r="H30" s="8" t="s">
        <v>45</v>
      </c>
      <c r="I30" s="8" t="n">
        <v>2.7</v>
      </c>
      <c r="J30" s="11" t="s">
        <v>51</v>
      </c>
      <c r="K30" s="9"/>
      <c r="L30" s="9"/>
      <c r="M30" s="8"/>
    </row>
    <row r="31" customFormat="false" ht="15" hidden="false" customHeight="false" outlineLevel="0" collapsed="false">
      <c r="A31" s="8" t="n">
        <v>10030</v>
      </c>
      <c r="B31" s="9" t="s">
        <v>119</v>
      </c>
      <c r="C31" s="9" t="s">
        <v>120</v>
      </c>
      <c r="D31" s="9" t="s">
        <v>26</v>
      </c>
      <c r="E31" s="9" t="s">
        <v>55</v>
      </c>
      <c r="F31" s="8" t="n">
        <v>17</v>
      </c>
      <c r="G31" s="8" t="n">
        <v>22</v>
      </c>
      <c r="H31" s="8" t="s">
        <v>45</v>
      </c>
      <c r="I31" s="8" t="n">
        <v>11.8</v>
      </c>
      <c r="J31" s="10" t="s">
        <v>46</v>
      </c>
      <c r="K31" s="9" t="s">
        <v>19</v>
      </c>
      <c r="L31" s="9" t="s">
        <v>121</v>
      </c>
      <c r="M31" s="8"/>
    </row>
    <row r="32" customFormat="false" ht="15" hidden="false" customHeight="false" outlineLevel="0" collapsed="false">
      <c r="A32" s="8" t="n">
        <v>10031</v>
      </c>
      <c r="B32" s="9" t="s">
        <v>122</v>
      </c>
      <c r="C32" s="9" t="s">
        <v>123</v>
      </c>
      <c r="D32" s="9" t="s">
        <v>25</v>
      </c>
      <c r="E32" s="9" t="s">
        <v>55</v>
      </c>
      <c r="F32" s="8" t="n">
        <v>28</v>
      </c>
      <c r="G32" s="8" t="n">
        <v>0</v>
      </c>
      <c r="H32" s="8" t="s">
        <v>45</v>
      </c>
      <c r="I32" s="8" t="n">
        <v>9.8</v>
      </c>
      <c r="J32" s="11" t="s">
        <v>51</v>
      </c>
      <c r="K32" s="9"/>
      <c r="L32" s="9"/>
      <c r="M32" s="8"/>
    </row>
    <row r="33" customFormat="false" ht="15" hidden="false" customHeight="false" outlineLevel="0" collapsed="false">
      <c r="A33" s="8" t="n">
        <v>10032</v>
      </c>
      <c r="B33" s="9" t="s">
        <v>124</v>
      </c>
      <c r="C33" s="9" t="s">
        <v>125</v>
      </c>
      <c r="D33" s="9" t="s">
        <v>25</v>
      </c>
      <c r="E33" s="9" t="s">
        <v>55</v>
      </c>
      <c r="F33" s="8" t="n">
        <v>20</v>
      </c>
      <c r="G33" s="8" t="n">
        <v>64</v>
      </c>
      <c r="H33" s="8" t="s">
        <v>45</v>
      </c>
      <c r="I33" s="8" t="n">
        <v>5.2</v>
      </c>
      <c r="J33" s="11" t="s">
        <v>51</v>
      </c>
      <c r="K33" s="9"/>
      <c r="L33" s="9"/>
      <c r="M33" s="8"/>
    </row>
    <row r="34" customFormat="false" ht="15" hidden="false" customHeight="false" outlineLevel="0" collapsed="false">
      <c r="A34" s="8" t="n">
        <v>10033</v>
      </c>
      <c r="B34" s="9" t="s">
        <v>126</v>
      </c>
      <c r="C34" s="9" t="s">
        <v>127</v>
      </c>
      <c r="D34" s="9" t="s">
        <v>27</v>
      </c>
      <c r="E34" s="9" t="s">
        <v>44</v>
      </c>
      <c r="F34" s="8" t="n">
        <v>20</v>
      </c>
      <c r="G34" s="8" t="n">
        <v>51</v>
      </c>
      <c r="H34" s="8" t="s">
        <v>45</v>
      </c>
      <c r="I34" s="8" t="n">
        <v>0.5</v>
      </c>
      <c r="J34" s="10" t="s">
        <v>46</v>
      </c>
      <c r="K34" s="9" t="s">
        <v>18</v>
      </c>
      <c r="L34" s="9" t="s">
        <v>128</v>
      </c>
      <c r="M34" s="8"/>
    </row>
    <row r="35" customFormat="false" ht="15" hidden="false" customHeight="false" outlineLevel="0" collapsed="false">
      <c r="A35" s="8" t="n">
        <v>10034</v>
      </c>
      <c r="B35" s="9" t="s">
        <v>129</v>
      </c>
      <c r="C35" s="9" t="s">
        <v>130</v>
      </c>
      <c r="D35" s="9" t="s">
        <v>24</v>
      </c>
      <c r="E35" s="9" t="s">
        <v>58</v>
      </c>
      <c r="F35" s="8" t="n">
        <v>6</v>
      </c>
      <c r="G35" s="8" t="n">
        <v>36</v>
      </c>
      <c r="H35" s="8" t="s">
        <v>45</v>
      </c>
      <c r="I35" s="8" t="n">
        <v>7.8</v>
      </c>
      <c r="J35" s="11" t="s">
        <v>51</v>
      </c>
      <c r="K35" s="9"/>
      <c r="L35" s="9"/>
      <c r="M35" s="8"/>
    </row>
    <row r="36" customFormat="false" ht="15" hidden="false" customHeight="false" outlineLevel="0" collapsed="false">
      <c r="A36" s="8" t="n">
        <v>10035</v>
      </c>
      <c r="B36" s="9" t="s">
        <v>131</v>
      </c>
      <c r="C36" s="9" t="s">
        <v>132</v>
      </c>
      <c r="D36" s="9" t="s">
        <v>26</v>
      </c>
      <c r="E36" s="9" t="s">
        <v>55</v>
      </c>
      <c r="F36" s="8" t="n">
        <v>16</v>
      </c>
      <c r="G36" s="8" t="n">
        <v>60</v>
      </c>
      <c r="H36" s="8" t="s">
        <v>45</v>
      </c>
      <c r="I36" s="8" t="n">
        <v>9.3</v>
      </c>
      <c r="J36" s="11" t="s">
        <v>51</v>
      </c>
      <c r="K36" s="9"/>
      <c r="L36" s="9"/>
      <c r="M36" s="8"/>
    </row>
    <row r="37" customFormat="false" ht="15" hidden="false" customHeight="false" outlineLevel="0" collapsed="false">
      <c r="A37" s="8" t="n">
        <v>10036</v>
      </c>
      <c r="B37" s="9" t="s">
        <v>133</v>
      </c>
      <c r="C37" s="9" t="s">
        <v>134</v>
      </c>
      <c r="D37" s="9" t="s">
        <v>24</v>
      </c>
      <c r="E37" s="9" t="s">
        <v>55</v>
      </c>
      <c r="F37" s="8" t="n">
        <v>7</v>
      </c>
      <c r="G37" s="8" t="n">
        <v>99</v>
      </c>
      <c r="H37" s="8" t="s">
        <v>45</v>
      </c>
      <c r="I37" s="8" t="n">
        <v>2.5</v>
      </c>
      <c r="J37" s="11" t="s">
        <v>51</v>
      </c>
      <c r="K37" s="9"/>
      <c r="L37" s="9"/>
      <c r="M37" s="8"/>
    </row>
    <row r="38" customFormat="false" ht="15" hidden="false" customHeight="false" outlineLevel="0" collapsed="false">
      <c r="A38" s="8" t="n">
        <v>10037</v>
      </c>
      <c r="B38" s="9" t="s">
        <v>135</v>
      </c>
      <c r="C38" s="9" t="s">
        <v>136</v>
      </c>
      <c r="D38" s="9" t="s">
        <v>24</v>
      </c>
      <c r="E38" s="9" t="s">
        <v>44</v>
      </c>
      <c r="F38" s="8" t="n">
        <v>36</v>
      </c>
      <c r="G38" s="8" t="n">
        <v>76</v>
      </c>
      <c r="H38" s="8" t="s">
        <v>45</v>
      </c>
      <c r="I38" s="8" t="n">
        <v>9.2</v>
      </c>
      <c r="J38" s="11" t="s">
        <v>51</v>
      </c>
      <c r="K38" s="9"/>
      <c r="L38" s="9"/>
      <c r="M38" s="8"/>
    </row>
    <row r="39" customFormat="false" ht="15" hidden="false" customHeight="false" outlineLevel="0" collapsed="false">
      <c r="A39" s="8" t="n">
        <v>10038</v>
      </c>
      <c r="B39" s="9" t="s">
        <v>137</v>
      </c>
      <c r="C39" s="9" t="s">
        <v>138</v>
      </c>
      <c r="D39" s="9" t="s">
        <v>25</v>
      </c>
      <c r="E39" s="9" t="s">
        <v>58</v>
      </c>
      <c r="F39" s="8" t="n">
        <v>18</v>
      </c>
      <c r="G39" s="8" t="n">
        <v>98</v>
      </c>
      <c r="H39" s="8" t="s">
        <v>75</v>
      </c>
      <c r="I39" s="8"/>
      <c r="J39" s="12" t="s">
        <v>76</v>
      </c>
      <c r="K39" s="9"/>
      <c r="L39" s="9"/>
      <c r="M39" s="8"/>
    </row>
    <row r="40" customFormat="false" ht="15" hidden="false" customHeight="false" outlineLevel="0" collapsed="false">
      <c r="A40" s="8" t="n">
        <v>10039</v>
      </c>
      <c r="B40" s="9" t="s">
        <v>139</v>
      </c>
      <c r="C40" s="9" t="s">
        <v>140</v>
      </c>
      <c r="D40" s="9" t="s">
        <v>28</v>
      </c>
      <c r="E40" s="9" t="s">
        <v>70</v>
      </c>
      <c r="F40" s="8" t="n">
        <v>22</v>
      </c>
      <c r="G40" s="8" t="n">
        <v>40</v>
      </c>
      <c r="H40" s="8" t="s">
        <v>75</v>
      </c>
      <c r="I40" s="8"/>
      <c r="J40" s="12" t="s">
        <v>76</v>
      </c>
      <c r="K40" s="9"/>
      <c r="L40" s="9"/>
      <c r="M40" s="8"/>
    </row>
    <row r="41" customFormat="false" ht="15" hidden="false" customHeight="false" outlineLevel="0" collapsed="false">
      <c r="A41" s="8" t="n">
        <v>10040</v>
      </c>
      <c r="B41" s="9" t="s">
        <v>141</v>
      </c>
      <c r="C41" s="9" t="s">
        <v>142</v>
      </c>
      <c r="D41" s="9" t="s">
        <v>24</v>
      </c>
      <c r="E41" s="9" t="s">
        <v>58</v>
      </c>
      <c r="F41" s="8" t="n">
        <v>5</v>
      </c>
      <c r="G41" s="8" t="n">
        <v>53</v>
      </c>
      <c r="H41" s="8" t="s">
        <v>45</v>
      </c>
      <c r="I41" s="8" t="n">
        <v>6.7</v>
      </c>
      <c r="J41" s="11" t="s">
        <v>51</v>
      </c>
      <c r="K41" s="9"/>
      <c r="L41" s="9"/>
      <c r="M41" s="8"/>
    </row>
    <row r="42" customFormat="false" ht="15" hidden="false" customHeight="false" outlineLevel="0" collapsed="false">
      <c r="A42" s="8" t="n">
        <v>10041</v>
      </c>
      <c r="B42" s="9" t="s">
        <v>143</v>
      </c>
      <c r="C42" s="9" t="s">
        <v>144</v>
      </c>
      <c r="D42" s="9" t="s">
        <v>23</v>
      </c>
      <c r="E42" s="9" t="s">
        <v>55</v>
      </c>
      <c r="F42" s="8" t="n">
        <v>23</v>
      </c>
      <c r="G42" s="8" t="n">
        <v>38</v>
      </c>
      <c r="H42" s="8" t="s">
        <v>75</v>
      </c>
      <c r="I42" s="8"/>
      <c r="J42" s="12" t="s">
        <v>76</v>
      </c>
      <c r="K42" s="9"/>
      <c r="L42" s="9"/>
      <c r="M42" s="8"/>
    </row>
    <row r="43" customFormat="false" ht="15" hidden="false" customHeight="false" outlineLevel="0" collapsed="false">
      <c r="A43" s="8" t="n">
        <v>10042</v>
      </c>
      <c r="B43" s="9" t="s">
        <v>145</v>
      </c>
      <c r="C43" s="9" t="s">
        <v>146</v>
      </c>
      <c r="D43" s="9" t="s">
        <v>25</v>
      </c>
      <c r="E43" s="9" t="s">
        <v>50</v>
      </c>
      <c r="F43" s="8" t="n">
        <v>32</v>
      </c>
      <c r="G43" s="8" t="n">
        <v>3</v>
      </c>
      <c r="H43" s="8" t="s">
        <v>45</v>
      </c>
      <c r="I43" s="8" t="n">
        <v>8.2</v>
      </c>
      <c r="J43" s="11" t="s">
        <v>51</v>
      </c>
      <c r="K43" s="9"/>
      <c r="L43" s="9"/>
      <c r="M43" s="8"/>
    </row>
    <row r="44" customFormat="false" ht="15" hidden="false" customHeight="false" outlineLevel="0" collapsed="false">
      <c r="A44" s="8" t="n">
        <v>10043</v>
      </c>
      <c r="B44" s="9" t="s">
        <v>147</v>
      </c>
      <c r="C44" s="9" t="s">
        <v>148</v>
      </c>
      <c r="D44" s="9" t="s">
        <v>27</v>
      </c>
      <c r="E44" s="9" t="s">
        <v>44</v>
      </c>
      <c r="F44" s="8" t="n">
        <v>2</v>
      </c>
      <c r="G44" s="8" t="n">
        <v>10</v>
      </c>
      <c r="H44" s="8" t="s">
        <v>45</v>
      </c>
      <c r="I44" s="8" t="n">
        <v>2.1</v>
      </c>
      <c r="J44" s="11" t="s">
        <v>51</v>
      </c>
      <c r="K44" s="9"/>
      <c r="L44" s="9"/>
      <c r="M44" s="8" t="s">
        <v>106</v>
      </c>
    </row>
    <row r="45" customFormat="false" ht="15" hidden="false" customHeight="false" outlineLevel="0" collapsed="false">
      <c r="A45" s="8" t="n">
        <v>10044</v>
      </c>
      <c r="B45" s="9" t="s">
        <v>149</v>
      </c>
      <c r="C45" s="9" t="s">
        <v>150</v>
      </c>
      <c r="D45" s="9" t="s">
        <v>23</v>
      </c>
      <c r="E45" s="9" t="s">
        <v>70</v>
      </c>
      <c r="F45" s="8" t="n">
        <v>6</v>
      </c>
      <c r="G45" s="8" t="n">
        <v>60</v>
      </c>
      <c r="H45" s="8" t="s">
        <v>45</v>
      </c>
      <c r="I45" s="8" t="n">
        <v>6.7</v>
      </c>
      <c r="J45" s="11" t="s">
        <v>51</v>
      </c>
      <c r="K45" s="9"/>
      <c r="L45" s="9"/>
      <c r="M45" s="8"/>
    </row>
    <row r="46" customFormat="false" ht="15" hidden="false" customHeight="false" outlineLevel="0" collapsed="false">
      <c r="A46" s="8" t="n">
        <v>10045</v>
      </c>
      <c r="B46" s="9" t="s">
        <v>151</v>
      </c>
      <c r="C46" s="9" t="s">
        <v>152</v>
      </c>
      <c r="D46" s="9" t="s">
        <v>27</v>
      </c>
      <c r="E46" s="9" t="s">
        <v>58</v>
      </c>
      <c r="F46" s="8" t="n">
        <v>16</v>
      </c>
      <c r="G46" s="8" t="n">
        <v>16</v>
      </c>
      <c r="H46" s="8" t="s">
        <v>45</v>
      </c>
      <c r="I46" s="8" t="n">
        <v>1.8</v>
      </c>
      <c r="J46" s="11" t="s">
        <v>51</v>
      </c>
      <c r="K46" s="9"/>
      <c r="L46" s="9"/>
      <c r="M46" s="8"/>
    </row>
    <row r="47" customFormat="false" ht="15" hidden="false" customHeight="false" outlineLevel="0" collapsed="false">
      <c r="A47" s="8" t="n">
        <v>10046</v>
      </c>
      <c r="B47" s="9" t="s">
        <v>153</v>
      </c>
      <c r="C47" s="9" t="s">
        <v>154</v>
      </c>
      <c r="D47" s="9" t="s">
        <v>28</v>
      </c>
      <c r="E47" s="9" t="s">
        <v>70</v>
      </c>
      <c r="F47" s="8" t="n">
        <v>7</v>
      </c>
      <c r="G47" s="8" t="n">
        <v>74</v>
      </c>
      <c r="H47" s="8" t="s">
        <v>45</v>
      </c>
      <c r="I47" s="8" t="n">
        <v>4.1</v>
      </c>
      <c r="J47" s="11" t="s">
        <v>51</v>
      </c>
      <c r="K47" s="9"/>
      <c r="L47" s="9"/>
      <c r="M47" s="8"/>
    </row>
    <row r="48" customFormat="false" ht="15" hidden="false" customHeight="false" outlineLevel="0" collapsed="false">
      <c r="A48" s="8" t="n">
        <v>10047</v>
      </c>
      <c r="B48" s="9" t="s">
        <v>155</v>
      </c>
      <c r="C48" s="9" t="s">
        <v>156</v>
      </c>
      <c r="D48" s="9" t="s">
        <v>28</v>
      </c>
      <c r="E48" s="9" t="s">
        <v>55</v>
      </c>
      <c r="F48" s="8" t="n">
        <v>20</v>
      </c>
      <c r="G48" s="8" t="n">
        <v>108</v>
      </c>
      <c r="H48" s="8" t="s">
        <v>45</v>
      </c>
      <c r="I48" s="8" t="n">
        <v>9.8</v>
      </c>
      <c r="J48" s="11" t="s">
        <v>51</v>
      </c>
      <c r="K48" s="9"/>
      <c r="L48" s="9"/>
      <c r="M48" s="8"/>
    </row>
    <row r="49" customFormat="false" ht="15" hidden="false" customHeight="false" outlineLevel="0" collapsed="false">
      <c r="A49" s="8" t="n">
        <v>10048</v>
      </c>
      <c r="B49" s="9" t="s">
        <v>157</v>
      </c>
      <c r="C49" s="9" t="s">
        <v>158</v>
      </c>
      <c r="D49" s="9" t="s">
        <v>27</v>
      </c>
      <c r="E49" s="9" t="s">
        <v>70</v>
      </c>
      <c r="F49" s="8" t="n">
        <v>1</v>
      </c>
      <c r="G49" s="8" t="n">
        <v>108</v>
      </c>
      <c r="H49" s="8" t="s">
        <v>45</v>
      </c>
      <c r="I49" s="8" t="n">
        <v>6.1</v>
      </c>
      <c r="J49" s="11" t="s">
        <v>51</v>
      </c>
      <c r="K49" s="9"/>
      <c r="L49" s="9"/>
      <c r="M49" s="8"/>
    </row>
    <row r="50" customFormat="false" ht="15" hidden="false" customHeight="false" outlineLevel="0" collapsed="false">
      <c r="A50" s="8" t="n">
        <v>10049</v>
      </c>
      <c r="B50" s="9" t="s">
        <v>159</v>
      </c>
      <c r="C50" s="9" t="s">
        <v>160</v>
      </c>
      <c r="D50" s="9" t="s">
        <v>25</v>
      </c>
      <c r="E50" s="9" t="s">
        <v>44</v>
      </c>
      <c r="F50" s="8" t="n">
        <v>35</v>
      </c>
      <c r="G50" s="8" t="n">
        <v>99</v>
      </c>
      <c r="H50" s="8" t="s">
        <v>45</v>
      </c>
      <c r="I50" s="8" t="n">
        <v>5.5</v>
      </c>
      <c r="J50" s="11" t="s">
        <v>51</v>
      </c>
      <c r="K50" s="9"/>
      <c r="L50" s="9"/>
      <c r="M50" s="8"/>
    </row>
    <row r="51" customFormat="false" ht="15" hidden="false" customHeight="false" outlineLevel="0" collapsed="false">
      <c r="A51" s="8" t="n">
        <v>10050</v>
      </c>
      <c r="B51" s="9" t="s">
        <v>161</v>
      </c>
      <c r="C51" s="9" t="s">
        <v>162</v>
      </c>
      <c r="D51" s="9" t="s">
        <v>27</v>
      </c>
      <c r="E51" s="9" t="s">
        <v>44</v>
      </c>
      <c r="F51" s="8" t="n">
        <v>25</v>
      </c>
      <c r="G51" s="8" t="n">
        <v>43</v>
      </c>
      <c r="H51" s="8" t="s">
        <v>45</v>
      </c>
      <c r="I51" s="8" t="n">
        <v>10.3</v>
      </c>
      <c r="J51" s="10" t="s">
        <v>46</v>
      </c>
      <c r="K51" s="9" t="s">
        <v>16</v>
      </c>
      <c r="L51" s="9" t="s">
        <v>163</v>
      </c>
      <c r="M51" s="8"/>
    </row>
    <row r="52" customFormat="false" ht="15" hidden="false" customHeight="false" outlineLevel="0" collapsed="false">
      <c r="A52" s="8" t="n">
        <v>10051</v>
      </c>
      <c r="B52" s="9" t="s">
        <v>164</v>
      </c>
      <c r="C52" s="9" t="s">
        <v>165</v>
      </c>
      <c r="D52" s="9" t="s">
        <v>26</v>
      </c>
      <c r="E52" s="9" t="s">
        <v>58</v>
      </c>
      <c r="F52" s="8" t="n">
        <v>27</v>
      </c>
      <c r="G52" s="8" t="n">
        <v>62</v>
      </c>
      <c r="H52" s="8" t="s">
        <v>45</v>
      </c>
      <c r="I52" s="8" t="n">
        <v>3.3</v>
      </c>
      <c r="J52" s="11" t="s">
        <v>51</v>
      </c>
      <c r="K52" s="9"/>
      <c r="L52" s="9"/>
      <c r="M52" s="8"/>
    </row>
    <row r="53" customFormat="false" ht="15" hidden="false" customHeight="false" outlineLevel="0" collapsed="false">
      <c r="A53" s="8" t="n">
        <v>10052</v>
      </c>
      <c r="B53" s="9" t="s">
        <v>166</v>
      </c>
      <c r="C53" s="9" t="s">
        <v>167</v>
      </c>
      <c r="D53" s="9" t="s">
        <v>24</v>
      </c>
      <c r="E53" s="9" t="s">
        <v>58</v>
      </c>
      <c r="F53" s="8" t="n">
        <v>20</v>
      </c>
      <c r="G53" s="8" t="n">
        <v>84</v>
      </c>
      <c r="H53" s="8" t="s">
        <v>45</v>
      </c>
      <c r="I53" s="8" t="n">
        <v>5.9</v>
      </c>
      <c r="J53" s="11" t="s">
        <v>51</v>
      </c>
      <c r="K53" s="9"/>
      <c r="L53" s="9"/>
      <c r="M53" s="8"/>
    </row>
    <row r="54" customFormat="false" ht="15" hidden="false" customHeight="false" outlineLevel="0" collapsed="false">
      <c r="A54" s="8" t="n">
        <v>10053</v>
      </c>
      <c r="B54" s="9" t="s">
        <v>168</v>
      </c>
      <c r="C54" s="9" t="s">
        <v>169</v>
      </c>
      <c r="D54" s="9" t="s">
        <v>25</v>
      </c>
      <c r="E54" s="9" t="s">
        <v>58</v>
      </c>
      <c r="F54" s="8" t="n">
        <v>8</v>
      </c>
      <c r="G54" s="8" t="n">
        <v>92</v>
      </c>
      <c r="H54" s="8" t="s">
        <v>45</v>
      </c>
      <c r="I54" s="8" t="n">
        <v>1.9</v>
      </c>
      <c r="J54" s="11" t="s">
        <v>51</v>
      </c>
      <c r="K54" s="9"/>
      <c r="L54" s="9"/>
      <c r="M54" s="8"/>
    </row>
    <row r="55" customFormat="false" ht="15" hidden="false" customHeight="false" outlineLevel="0" collapsed="false">
      <c r="A55" s="8" t="n">
        <v>10054</v>
      </c>
      <c r="B55" s="9" t="s">
        <v>170</v>
      </c>
      <c r="C55" s="9" t="s">
        <v>171</v>
      </c>
      <c r="D55" s="9" t="s">
        <v>27</v>
      </c>
      <c r="E55" s="9" t="s">
        <v>70</v>
      </c>
      <c r="F55" s="8" t="n">
        <v>7</v>
      </c>
      <c r="G55" s="8" t="n">
        <v>106</v>
      </c>
      <c r="H55" s="8" t="s">
        <v>45</v>
      </c>
      <c r="I55" s="8" t="n">
        <v>3.1</v>
      </c>
      <c r="J55" s="10" t="s">
        <v>46</v>
      </c>
      <c r="K55" s="9" t="s">
        <v>15</v>
      </c>
      <c r="L55" s="9" t="s">
        <v>172</v>
      </c>
      <c r="M55" s="8"/>
    </row>
    <row r="56" customFormat="false" ht="15" hidden="false" customHeight="false" outlineLevel="0" collapsed="false">
      <c r="A56" s="8" t="n">
        <v>10055</v>
      </c>
      <c r="B56" s="9" t="s">
        <v>173</v>
      </c>
      <c r="C56" s="9" t="s">
        <v>174</v>
      </c>
      <c r="D56" s="9" t="s">
        <v>26</v>
      </c>
      <c r="E56" s="9" t="s">
        <v>55</v>
      </c>
      <c r="F56" s="8" t="n">
        <v>19</v>
      </c>
      <c r="G56" s="8" t="n">
        <v>60</v>
      </c>
      <c r="H56" s="8" t="s">
        <v>45</v>
      </c>
      <c r="I56" s="8" t="n">
        <v>4.4</v>
      </c>
      <c r="J56" s="11" t="s">
        <v>51</v>
      </c>
      <c r="K56" s="9"/>
      <c r="L56" s="9"/>
      <c r="M56" s="8"/>
    </row>
    <row r="57" customFormat="false" ht="15" hidden="false" customHeight="false" outlineLevel="0" collapsed="false">
      <c r="A57" s="8" t="n">
        <v>10056</v>
      </c>
      <c r="B57" s="9" t="s">
        <v>175</v>
      </c>
      <c r="C57" s="9" t="s">
        <v>176</v>
      </c>
      <c r="D57" s="9" t="s">
        <v>24</v>
      </c>
      <c r="E57" s="9" t="s">
        <v>55</v>
      </c>
      <c r="F57" s="8" t="n">
        <v>10</v>
      </c>
      <c r="G57" s="8" t="n">
        <v>19</v>
      </c>
      <c r="H57" s="8" t="s">
        <v>75</v>
      </c>
      <c r="I57" s="8"/>
      <c r="J57" s="12" t="s">
        <v>76</v>
      </c>
      <c r="K57" s="9"/>
      <c r="L57" s="9"/>
      <c r="M57" s="8"/>
    </row>
    <row r="58" customFormat="false" ht="15" hidden="false" customHeight="false" outlineLevel="0" collapsed="false">
      <c r="A58" s="8" t="n">
        <v>10057</v>
      </c>
      <c r="B58" s="9" t="s">
        <v>177</v>
      </c>
      <c r="C58" s="9" t="s">
        <v>178</v>
      </c>
      <c r="D58" s="9" t="s">
        <v>27</v>
      </c>
      <c r="E58" s="9" t="s">
        <v>44</v>
      </c>
      <c r="F58" s="8" t="n">
        <v>15</v>
      </c>
      <c r="G58" s="8" t="n">
        <v>99</v>
      </c>
      <c r="H58" s="8" t="s">
        <v>45</v>
      </c>
      <c r="I58" s="8" t="n">
        <v>5.7</v>
      </c>
      <c r="J58" s="11" t="s">
        <v>51</v>
      </c>
      <c r="K58" s="9"/>
      <c r="L58" s="9"/>
      <c r="M58" s="8"/>
    </row>
    <row r="59" customFormat="false" ht="15" hidden="false" customHeight="false" outlineLevel="0" collapsed="false">
      <c r="A59" s="8" t="n">
        <v>10058</v>
      </c>
      <c r="B59" s="9" t="s">
        <v>143</v>
      </c>
      <c r="C59" s="9" t="s">
        <v>179</v>
      </c>
      <c r="D59" s="9" t="s">
        <v>28</v>
      </c>
      <c r="E59" s="9" t="s">
        <v>58</v>
      </c>
      <c r="F59" s="8" t="n">
        <v>17</v>
      </c>
      <c r="G59" s="8" t="n">
        <v>84</v>
      </c>
      <c r="H59" s="8" t="s">
        <v>45</v>
      </c>
      <c r="I59" s="8" t="n">
        <v>3.3</v>
      </c>
      <c r="J59" s="11" t="s">
        <v>51</v>
      </c>
      <c r="K59" s="9"/>
      <c r="L59" s="9"/>
      <c r="M59" s="8" t="s">
        <v>106</v>
      </c>
    </row>
    <row r="60" customFormat="false" ht="15" hidden="false" customHeight="false" outlineLevel="0" collapsed="false">
      <c r="A60" s="8" t="n">
        <v>10059</v>
      </c>
      <c r="B60" s="9" t="s">
        <v>180</v>
      </c>
      <c r="C60" s="9" t="s">
        <v>181</v>
      </c>
      <c r="D60" s="9" t="s">
        <v>25</v>
      </c>
      <c r="E60" s="9" t="s">
        <v>70</v>
      </c>
      <c r="F60" s="8" t="n">
        <v>30</v>
      </c>
      <c r="G60" s="8" t="n">
        <v>9</v>
      </c>
      <c r="H60" s="8" t="s">
        <v>45</v>
      </c>
      <c r="I60" s="8" t="n">
        <v>11.1</v>
      </c>
      <c r="J60" s="11" t="s">
        <v>51</v>
      </c>
      <c r="K60" s="9"/>
      <c r="L60" s="9"/>
      <c r="M60" s="8"/>
    </row>
    <row r="61" customFormat="false" ht="15" hidden="false" customHeight="false" outlineLevel="0" collapsed="false">
      <c r="A61" s="8" t="n">
        <v>10060</v>
      </c>
      <c r="B61" s="9" t="s">
        <v>182</v>
      </c>
      <c r="C61" s="9" t="s">
        <v>183</v>
      </c>
      <c r="D61" s="9" t="s">
        <v>25</v>
      </c>
      <c r="E61" s="9" t="s">
        <v>58</v>
      </c>
      <c r="F61" s="8" t="n">
        <v>5</v>
      </c>
      <c r="G61" s="8" t="n">
        <v>7</v>
      </c>
      <c r="H61" s="8" t="s">
        <v>45</v>
      </c>
      <c r="I61" s="8" t="n">
        <v>4</v>
      </c>
      <c r="J61" s="11" t="s">
        <v>51</v>
      </c>
      <c r="K61" s="9"/>
      <c r="L61" s="9"/>
      <c r="M61" s="8"/>
    </row>
  </sheetData>
  <autoFilter ref="A1:M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2" min="12" style="0" width="18"/>
    <col collapsed="false" customWidth="true" hidden="false" outlineLevel="0" max="13" min="13" style="0" width="10"/>
  </cols>
  <sheetData>
    <row r="1" customFormat="false" ht="36" hidden="false" customHeight="true" outlineLevel="0" collapsed="false">
      <c r="A1" s="4" t="s">
        <v>30</v>
      </c>
      <c r="B1" s="4" t="s">
        <v>31</v>
      </c>
      <c r="C1" s="4" t="s">
        <v>32</v>
      </c>
      <c r="D1" s="4" t="s">
        <v>21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</row>
    <row r="2" customFormat="false" ht="15" hidden="false" customHeight="false" outlineLevel="0" collapsed="false">
      <c r="A2" s="8" t="n">
        <v>10001</v>
      </c>
      <c r="B2" s="9" t="s">
        <v>42</v>
      </c>
      <c r="C2" s="9" t="s">
        <v>43</v>
      </c>
      <c r="D2" s="9" t="s">
        <v>24</v>
      </c>
      <c r="E2" s="9" t="s">
        <v>44</v>
      </c>
      <c r="F2" s="8" t="n">
        <v>6</v>
      </c>
      <c r="G2" s="8" t="n">
        <v>75</v>
      </c>
      <c r="H2" s="8" t="s">
        <v>45</v>
      </c>
      <c r="I2" s="8" t="n">
        <v>0.8</v>
      </c>
      <c r="J2" s="10" t="s">
        <v>46</v>
      </c>
      <c r="K2" s="9" t="s">
        <v>19</v>
      </c>
      <c r="L2" s="9" t="s">
        <v>47</v>
      </c>
      <c r="M2" s="8"/>
    </row>
    <row r="3" customFormat="false" ht="15" hidden="false" customHeight="false" outlineLevel="0" collapsed="false">
      <c r="A3" s="8" t="n">
        <v>10005</v>
      </c>
      <c r="B3" s="9" t="s">
        <v>59</v>
      </c>
      <c r="C3" s="9" t="s">
        <v>60</v>
      </c>
      <c r="D3" s="9" t="s">
        <v>27</v>
      </c>
      <c r="E3" s="9" t="s">
        <v>58</v>
      </c>
      <c r="F3" s="8" t="n">
        <v>35</v>
      </c>
      <c r="G3" s="8" t="n">
        <v>93</v>
      </c>
      <c r="H3" s="8" t="s">
        <v>45</v>
      </c>
      <c r="I3" s="8" t="n">
        <v>5.8</v>
      </c>
      <c r="J3" s="10" t="s">
        <v>46</v>
      </c>
      <c r="K3" s="9" t="s">
        <v>19</v>
      </c>
      <c r="L3" s="9" t="s">
        <v>61</v>
      </c>
      <c r="M3" s="8"/>
    </row>
    <row r="4" customFormat="false" ht="15" hidden="false" customHeight="false" outlineLevel="0" collapsed="false">
      <c r="A4" s="8" t="n">
        <v>10014</v>
      </c>
      <c r="B4" s="9" t="s">
        <v>81</v>
      </c>
      <c r="C4" s="9" t="s">
        <v>82</v>
      </c>
      <c r="D4" s="9" t="s">
        <v>28</v>
      </c>
      <c r="E4" s="9" t="s">
        <v>55</v>
      </c>
      <c r="F4" s="8" t="n">
        <v>3</v>
      </c>
      <c r="G4" s="8" t="n">
        <v>110</v>
      </c>
      <c r="H4" s="8" t="s">
        <v>45</v>
      </c>
      <c r="I4" s="8" t="n">
        <v>6.4</v>
      </c>
      <c r="J4" s="10" t="s">
        <v>46</v>
      </c>
      <c r="K4" s="9" t="s">
        <v>18</v>
      </c>
      <c r="L4" s="9" t="s">
        <v>83</v>
      </c>
      <c r="M4" s="8"/>
    </row>
    <row r="5" customFormat="false" ht="15" hidden="false" customHeight="false" outlineLevel="0" collapsed="false">
      <c r="A5" s="8" t="n">
        <v>10018</v>
      </c>
      <c r="B5" s="9" t="s">
        <v>90</v>
      </c>
      <c r="C5" s="9" t="s">
        <v>91</v>
      </c>
      <c r="D5" s="9" t="s">
        <v>23</v>
      </c>
      <c r="E5" s="9" t="s">
        <v>44</v>
      </c>
      <c r="F5" s="8" t="n">
        <v>32</v>
      </c>
      <c r="G5" s="8" t="n">
        <v>19</v>
      </c>
      <c r="H5" s="8" t="s">
        <v>45</v>
      </c>
      <c r="I5" s="8" t="n">
        <v>3</v>
      </c>
      <c r="J5" s="10" t="s">
        <v>46</v>
      </c>
      <c r="K5" s="9" t="s">
        <v>19</v>
      </c>
      <c r="L5" s="9" t="s">
        <v>92</v>
      </c>
      <c r="M5" s="8" t="s">
        <v>93</v>
      </c>
    </row>
    <row r="6" customFormat="false" ht="15" hidden="false" customHeight="false" outlineLevel="0" collapsed="false">
      <c r="A6" s="8" t="n">
        <v>10022</v>
      </c>
      <c r="B6" s="9" t="s">
        <v>100</v>
      </c>
      <c r="C6" s="9" t="s">
        <v>101</v>
      </c>
      <c r="D6" s="9" t="s">
        <v>27</v>
      </c>
      <c r="E6" s="9" t="s">
        <v>58</v>
      </c>
      <c r="F6" s="8" t="n">
        <v>33</v>
      </c>
      <c r="G6" s="8" t="n">
        <v>33</v>
      </c>
      <c r="H6" s="8" t="s">
        <v>45</v>
      </c>
      <c r="I6" s="8" t="n">
        <v>4.5</v>
      </c>
      <c r="J6" s="10" t="s">
        <v>46</v>
      </c>
      <c r="K6" s="9" t="s">
        <v>16</v>
      </c>
      <c r="L6" s="9" t="s">
        <v>102</v>
      </c>
      <c r="M6" s="8"/>
    </row>
    <row r="7" customFormat="false" ht="15" hidden="false" customHeight="false" outlineLevel="0" collapsed="false">
      <c r="A7" s="8" t="n">
        <v>10023</v>
      </c>
      <c r="B7" s="9" t="s">
        <v>103</v>
      </c>
      <c r="C7" s="9" t="s">
        <v>104</v>
      </c>
      <c r="D7" s="9" t="s">
        <v>26</v>
      </c>
      <c r="E7" s="9" t="s">
        <v>44</v>
      </c>
      <c r="F7" s="8" t="n">
        <v>20</v>
      </c>
      <c r="G7" s="8" t="n">
        <v>119</v>
      </c>
      <c r="H7" s="8" t="s">
        <v>45</v>
      </c>
      <c r="I7" s="8" t="n">
        <v>11.3</v>
      </c>
      <c r="J7" s="10" t="s">
        <v>46</v>
      </c>
      <c r="K7" s="9" t="s">
        <v>15</v>
      </c>
      <c r="L7" s="9" t="s">
        <v>105</v>
      </c>
      <c r="M7" s="8" t="s">
        <v>106</v>
      </c>
    </row>
    <row r="8" customFormat="false" ht="15" hidden="false" customHeight="false" outlineLevel="0" collapsed="false">
      <c r="A8" s="8" t="n">
        <v>10030</v>
      </c>
      <c r="B8" s="9" t="s">
        <v>119</v>
      </c>
      <c r="C8" s="9" t="s">
        <v>120</v>
      </c>
      <c r="D8" s="9" t="s">
        <v>26</v>
      </c>
      <c r="E8" s="9" t="s">
        <v>55</v>
      </c>
      <c r="F8" s="8" t="n">
        <v>17</v>
      </c>
      <c r="G8" s="8" t="n">
        <v>22</v>
      </c>
      <c r="H8" s="8" t="s">
        <v>45</v>
      </c>
      <c r="I8" s="8" t="n">
        <v>11.8</v>
      </c>
      <c r="J8" s="10" t="s">
        <v>46</v>
      </c>
      <c r="K8" s="9" t="s">
        <v>19</v>
      </c>
      <c r="L8" s="9" t="s">
        <v>121</v>
      </c>
      <c r="M8" s="8"/>
    </row>
    <row r="9" customFormat="false" ht="15" hidden="false" customHeight="false" outlineLevel="0" collapsed="false">
      <c r="A9" s="8" t="n">
        <v>10033</v>
      </c>
      <c r="B9" s="9" t="s">
        <v>126</v>
      </c>
      <c r="C9" s="9" t="s">
        <v>127</v>
      </c>
      <c r="D9" s="9" t="s">
        <v>27</v>
      </c>
      <c r="E9" s="9" t="s">
        <v>44</v>
      </c>
      <c r="F9" s="8" t="n">
        <v>20</v>
      </c>
      <c r="G9" s="8" t="n">
        <v>51</v>
      </c>
      <c r="H9" s="8" t="s">
        <v>45</v>
      </c>
      <c r="I9" s="8" t="n">
        <v>0.5</v>
      </c>
      <c r="J9" s="10" t="s">
        <v>46</v>
      </c>
      <c r="K9" s="9" t="s">
        <v>18</v>
      </c>
      <c r="L9" s="9" t="s">
        <v>128</v>
      </c>
      <c r="M9" s="8"/>
    </row>
    <row r="10" customFormat="false" ht="15" hidden="false" customHeight="false" outlineLevel="0" collapsed="false">
      <c r="A10" s="8" t="n">
        <v>10050</v>
      </c>
      <c r="B10" s="9" t="s">
        <v>161</v>
      </c>
      <c r="C10" s="9" t="s">
        <v>162</v>
      </c>
      <c r="D10" s="9" t="s">
        <v>27</v>
      </c>
      <c r="E10" s="9" t="s">
        <v>44</v>
      </c>
      <c r="F10" s="8" t="n">
        <v>25</v>
      </c>
      <c r="G10" s="8" t="n">
        <v>43</v>
      </c>
      <c r="H10" s="8" t="s">
        <v>45</v>
      </c>
      <c r="I10" s="8" t="n">
        <v>10.3</v>
      </c>
      <c r="J10" s="10" t="s">
        <v>46</v>
      </c>
      <c r="K10" s="9" t="s">
        <v>16</v>
      </c>
      <c r="L10" s="9" t="s">
        <v>163</v>
      </c>
      <c r="M10" s="8"/>
    </row>
    <row r="11" customFormat="false" ht="15" hidden="false" customHeight="false" outlineLevel="0" collapsed="false">
      <c r="A11" s="8" t="n">
        <v>10054</v>
      </c>
      <c r="B11" s="9" t="s">
        <v>170</v>
      </c>
      <c r="C11" s="9" t="s">
        <v>171</v>
      </c>
      <c r="D11" s="9" t="s">
        <v>27</v>
      </c>
      <c r="E11" s="9" t="s">
        <v>70</v>
      </c>
      <c r="F11" s="8" t="n">
        <v>7</v>
      </c>
      <c r="G11" s="8" t="n">
        <v>106</v>
      </c>
      <c r="H11" s="8" t="s">
        <v>45</v>
      </c>
      <c r="I11" s="8" t="n">
        <v>3.1</v>
      </c>
      <c r="J11" s="10" t="s">
        <v>46</v>
      </c>
      <c r="K11" s="9" t="s">
        <v>15</v>
      </c>
      <c r="L11" s="9" t="s">
        <v>172</v>
      </c>
      <c r="M11" s="8"/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2" min="12" style="0" width="18"/>
    <col collapsed="false" customWidth="true" hidden="false" outlineLevel="0" max="13" min="13" style="0" width="10"/>
  </cols>
  <sheetData>
    <row r="1" customFormat="false" ht="39.75" hidden="false" customHeight="true" outlineLevel="0" collapsed="false">
      <c r="A1" s="13" t="s">
        <v>184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3" customFormat="false" ht="36" hidden="false" customHeight="true" outlineLevel="0" collapsed="false">
      <c r="A3" s="4" t="s">
        <v>30</v>
      </c>
      <c r="B3" s="4" t="s">
        <v>31</v>
      </c>
      <c r="C3" s="4" t="s">
        <v>32</v>
      </c>
      <c r="D3" s="4" t="s">
        <v>21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38</v>
      </c>
      <c r="K3" s="4" t="s">
        <v>39</v>
      </c>
      <c r="L3" s="4" t="s">
        <v>40</v>
      </c>
      <c r="M3" s="4" t="s">
        <v>41</v>
      </c>
    </row>
    <row r="4" customFormat="false" ht="15" hidden="false" customHeight="false" outlineLevel="0" collapsed="false">
      <c r="A4" s="8" t="n">
        <v>10002</v>
      </c>
      <c r="B4" s="9" t="s">
        <v>48</v>
      </c>
      <c r="C4" s="9" t="s">
        <v>49</v>
      </c>
      <c r="D4" s="9" t="s">
        <v>28</v>
      </c>
      <c r="E4" s="9" t="s">
        <v>50</v>
      </c>
      <c r="F4" s="8" t="n">
        <v>22</v>
      </c>
      <c r="G4" s="8" t="n">
        <v>35</v>
      </c>
      <c r="H4" s="8" t="s">
        <v>45</v>
      </c>
      <c r="I4" s="8" t="n">
        <v>11.5</v>
      </c>
      <c r="J4" s="11" t="s">
        <v>51</v>
      </c>
      <c r="K4" s="9"/>
      <c r="L4" s="9"/>
      <c r="M4" s="8" t="s">
        <v>52</v>
      </c>
    </row>
    <row r="5" customFormat="false" ht="15" hidden="false" customHeight="false" outlineLevel="0" collapsed="false">
      <c r="A5" s="8" t="n">
        <v>10003</v>
      </c>
      <c r="B5" s="9" t="s">
        <v>53</v>
      </c>
      <c r="C5" s="9" t="s">
        <v>54</v>
      </c>
      <c r="D5" s="9" t="s">
        <v>27</v>
      </c>
      <c r="E5" s="9" t="s">
        <v>55</v>
      </c>
      <c r="F5" s="8" t="n">
        <v>25</v>
      </c>
      <c r="G5" s="8" t="n">
        <v>10</v>
      </c>
      <c r="H5" s="8" t="s">
        <v>45</v>
      </c>
      <c r="I5" s="8" t="n">
        <v>10</v>
      </c>
      <c r="J5" s="11" t="s">
        <v>51</v>
      </c>
      <c r="K5" s="9"/>
      <c r="L5" s="9"/>
      <c r="M5" s="8"/>
    </row>
    <row r="6" customFormat="false" ht="15" hidden="false" customHeight="false" outlineLevel="0" collapsed="false">
      <c r="A6" s="8" t="n">
        <v>10004</v>
      </c>
      <c r="B6" s="9" t="s">
        <v>56</v>
      </c>
      <c r="C6" s="9" t="s">
        <v>57</v>
      </c>
      <c r="D6" s="9" t="s">
        <v>26</v>
      </c>
      <c r="E6" s="9" t="s">
        <v>58</v>
      </c>
      <c r="F6" s="8" t="n">
        <v>7</v>
      </c>
      <c r="G6" s="8" t="n">
        <v>48</v>
      </c>
      <c r="H6" s="8" t="s">
        <v>45</v>
      </c>
      <c r="I6" s="8" t="n">
        <v>7.8</v>
      </c>
      <c r="J6" s="11" t="s">
        <v>51</v>
      </c>
      <c r="K6" s="9"/>
      <c r="L6" s="9"/>
      <c r="M6" s="8"/>
    </row>
    <row r="7" customFormat="false" ht="15" hidden="false" customHeight="false" outlineLevel="0" collapsed="false">
      <c r="A7" s="8" t="n">
        <v>10006</v>
      </c>
      <c r="B7" s="9" t="s">
        <v>62</v>
      </c>
      <c r="C7" s="9" t="s">
        <v>63</v>
      </c>
      <c r="D7" s="9" t="s">
        <v>28</v>
      </c>
      <c r="E7" s="9" t="s">
        <v>44</v>
      </c>
      <c r="F7" s="8" t="n">
        <v>21</v>
      </c>
      <c r="G7" s="8" t="n">
        <v>27</v>
      </c>
      <c r="H7" s="8" t="s">
        <v>45</v>
      </c>
      <c r="I7" s="8" t="n">
        <v>5</v>
      </c>
      <c r="J7" s="11" t="s">
        <v>51</v>
      </c>
      <c r="K7" s="9"/>
      <c r="L7" s="9"/>
      <c r="M7" s="8"/>
    </row>
    <row r="8" customFormat="false" ht="15" hidden="false" customHeight="false" outlineLevel="0" collapsed="false">
      <c r="A8" s="8" t="n">
        <v>10007</v>
      </c>
      <c r="B8" s="9" t="s">
        <v>64</v>
      </c>
      <c r="C8" s="9" t="s">
        <v>65</v>
      </c>
      <c r="D8" s="9" t="s">
        <v>23</v>
      </c>
      <c r="E8" s="9" t="s">
        <v>44</v>
      </c>
      <c r="F8" s="8" t="n">
        <v>26</v>
      </c>
      <c r="G8" s="8" t="n">
        <v>46</v>
      </c>
      <c r="H8" s="8" t="s">
        <v>45</v>
      </c>
      <c r="I8" s="8" t="n">
        <v>12</v>
      </c>
      <c r="J8" s="11" t="s">
        <v>51</v>
      </c>
      <c r="K8" s="9"/>
      <c r="L8" s="9"/>
      <c r="M8" s="8" t="s">
        <v>52</v>
      </c>
    </row>
    <row r="9" customFormat="false" ht="15" hidden="false" customHeight="false" outlineLevel="0" collapsed="false">
      <c r="A9" s="8" t="n">
        <v>10008</v>
      </c>
      <c r="B9" s="9" t="s">
        <v>66</v>
      </c>
      <c r="C9" s="9" t="s">
        <v>67</v>
      </c>
      <c r="D9" s="9" t="s">
        <v>23</v>
      </c>
      <c r="E9" s="9" t="s">
        <v>50</v>
      </c>
      <c r="F9" s="8" t="n">
        <v>30</v>
      </c>
      <c r="G9" s="8" t="n">
        <v>67</v>
      </c>
      <c r="H9" s="8" t="s">
        <v>45</v>
      </c>
      <c r="I9" s="8" t="n">
        <v>6.9</v>
      </c>
      <c r="J9" s="11" t="s">
        <v>51</v>
      </c>
      <c r="K9" s="9"/>
      <c r="L9" s="9"/>
      <c r="M9" s="8"/>
    </row>
    <row r="10" customFormat="false" ht="15" hidden="false" customHeight="false" outlineLevel="0" collapsed="false">
      <c r="A10" s="8" t="n">
        <v>10009</v>
      </c>
      <c r="B10" s="9" t="s">
        <v>68</v>
      </c>
      <c r="C10" s="9" t="s">
        <v>69</v>
      </c>
      <c r="D10" s="9" t="s">
        <v>26</v>
      </c>
      <c r="E10" s="9" t="s">
        <v>70</v>
      </c>
      <c r="F10" s="8" t="n">
        <v>28</v>
      </c>
      <c r="G10" s="8" t="n">
        <v>20</v>
      </c>
      <c r="H10" s="8" t="s">
        <v>45</v>
      </c>
      <c r="I10" s="8" t="n">
        <v>11.5</v>
      </c>
      <c r="J10" s="11" t="s">
        <v>51</v>
      </c>
      <c r="K10" s="9"/>
      <c r="L10" s="9"/>
      <c r="M10" s="8"/>
    </row>
    <row r="11" customFormat="false" ht="15" hidden="false" customHeight="false" outlineLevel="0" collapsed="false">
      <c r="A11" s="8" t="n">
        <v>10010</v>
      </c>
      <c r="B11" s="9" t="s">
        <v>71</v>
      </c>
      <c r="C11" s="9" t="s">
        <v>72</v>
      </c>
      <c r="D11" s="9" t="s">
        <v>24</v>
      </c>
      <c r="E11" s="9" t="s">
        <v>44</v>
      </c>
      <c r="F11" s="8" t="n">
        <v>13</v>
      </c>
      <c r="G11" s="8" t="n">
        <v>19</v>
      </c>
      <c r="H11" s="8" t="s">
        <v>45</v>
      </c>
      <c r="I11" s="8" t="n">
        <v>2.4</v>
      </c>
      <c r="J11" s="11" t="s">
        <v>51</v>
      </c>
      <c r="K11" s="9"/>
      <c r="L11" s="9"/>
      <c r="M11" s="8"/>
    </row>
    <row r="12" customFormat="false" ht="15" hidden="false" customHeight="false" outlineLevel="0" collapsed="false">
      <c r="A12" s="8" t="n">
        <v>10012</v>
      </c>
      <c r="B12" s="9" t="s">
        <v>77</v>
      </c>
      <c r="C12" s="9" t="s">
        <v>78</v>
      </c>
      <c r="D12" s="9" t="s">
        <v>28</v>
      </c>
      <c r="E12" s="9" t="s">
        <v>50</v>
      </c>
      <c r="F12" s="8" t="n">
        <v>36</v>
      </c>
      <c r="G12" s="8" t="n">
        <v>21</v>
      </c>
      <c r="H12" s="8" t="s">
        <v>45</v>
      </c>
      <c r="I12" s="8" t="n">
        <v>10.5</v>
      </c>
      <c r="J12" s="11" t="s">
        <v>51</v>
      </c>
      <c r="K12" s="9"/>
      <c r="L12" s="9"/>
      <c r="M12" s="8"/>
    </row>
    <row r="13" customFormat="false" ht="15" hidden="false" customHeight="false" outlineLevel="0" collapsed="false">
      <c r="A13" s="8" t="n">
        <v>10013</v>
      </c>
      <c r="B13" s="9" t="s">
        <v>79</v>
      </c>
      <c r="C13" s="9" t="s">
        <v>80</v>
      </c>
      <c r="D13" s="9" t="s">
        <v>25</v>
      </c>
      <c r="E13" s="9" t="s">
        <v>50</v>
      </c>
      <c r="F13" s="8" t="n">
        <v>34</v>
      </c>
      <c r="G13" s="8" t="n">
        <v>57</v>
      </c>
      <c r="H13" s="8" t="s">
        <v>45</v>
      </c>
      <c r="I13" s="8" t="n">
        <v>3.1</v>
      </c>
      <c r="J13" s="11" t="s">
        <v>51</v>
      </c>
      <c r="K13" s="9"/>
      <c r="L13" s="9"/>
      <c r="M13" s="8"/>
    </row>
    <row r="14" customFormat="false" ht="15" hidden="false" customHeight="false" outlineLevel="0" collapsed="false">
      <c r="A14" s="8" t="n">
        <v>10015</v>
      </c>
      <c r="B14" s="9" t="s">
        <v>84</v>
      </c>
      <c r="C14" s="9" t="s">
        <v>85</v>
      </c>
      <c r="D14" s="9" t="s">
        <v>28</v>
      </c>
      <c r="E14" s="9" t="s">
        <v>55</v>
      </c>
      <c r="F14" s="8" t="n">
        <v>7</v>
      </c>
      <c r="G14" s="8" t="n">
        <v>84</v>
      </c>
      <c r="H14" s="8" t="s">
        <v>45</v>
      </c>
      <c r="I14" s="8" t="n">
        <v>5.4</v>
      </c>
      <c r="J14" s="11" t="s">
        <v>51</v>
      </c>
      <c r="K14" s="9"/>
      <c r="L14" s="9"/>
      <c r="M14" s="8"/>
    </row>
    <row r="15" customFormat="false" ht="15" hidden="false" customHeight="false" outlineLevel="0" collapsed="false">
      <c r="A15" s="8" t="n">
        <v>10016</v>
      </c>
      <c r="B15" s="9" t="s">
        <v>86</v>
      </c>
      <c r="C15" s="9" t="s">
        <v>87</v>
      </c>
      <c r="D15" s="9" t="s">
        <v>28</v>
      </c>
      <c r="E15" s="9" t="s">
        <v>58</v>
      </c>
      <c r="F15" s="8" t="n">
        <v>35</v>
      </c>
      <c r="G15" s="8" t="n">
        <v>57</v>
      </c>
      <c r="H15" s="8" t="s">
        <v>45</v>
      </c>
      <c r="I15" s="8" t="n">
        <v>2.6</v>
      </c>
      <c r="J15" s="11" t="s">
        <v>51</v>
      </c>
      <c r="K15" s="9"/>
      <c r="L15" s="9"/>
      <c r="M15" s="8"/>
    </row>
    <row r="16" customFormat="false" ht="15" hidden="false" customHeight="false" outlineLevel="0" collapsed="false">
      <c r="A16" s="8" t="n">
        <v>10017</v>
      </c>
      <c r="B16" s="9" t="s">
        <v>88</v>
      </c>
      <c r="C16" s="9" t="s">
        <v>89</v>
      </c>
      <c r="D16" s="9" t="s">
        <v>26</v>
      </c>
      <c r="E16" s="9" t="s">
        <v>55</v>
      </c>
      <c r="F16" s="8" t="n">
        <v>16</v>
      </c>
      <c r="G16" s="8" t="n">
        <v>21</v>
      </c>
      <c r="H16" s="8" t="s">
        <v>45</v>
      </c>
      <c r="I16" s="8" t="n">
        <v>6</v>
      </c>
      <c r="J16" s="11" t="s">
        <v>51</v>
      </c>
      <c r="K16" s="9"/>
      <c r="L16" s="9"/>
      <c r="M16" s="8"/>
    </row>
    <row r="17" customFormat="false" ht="15" hidden="false" customHeight="false" outlineLevel="0" collapsed="false">
      <c r="A17" s="8" t="n">
        <v>10020</v>
      </c>
      <c r="B17" s="9" t="s">
        <v>96</v>
      </c>
      <c r="C17" s="9" t="s">
        <v>97</v>
      </c>
      <c r="D17" s="9" t="s">
        <v>27</v>
      </c>
      <c r="E17" s="9" t="s">
        <v>55</v>
      </c>
      <c r="F17" s="8" t="n">
        <v>27</v>
      </c>
      <c r="G17" s="8" t="n">
        <v>84</v>
      </c>
      <c r="H17" s="8" t="s">
        <v>45</v>
      </c>
      <c r="I17" s="8" t="n">
        <v>6.5</v>
      </c>
      <c r="J17" s="11" t="s">
        <v>51</v>
      </c>
      <c r="K17" s="9"/>
      <c r="L17" s="9"/>
      <c r="M17" s="8"/>
    </row>
    <row r="18" customFormat="false" ht="15" hidden="false" customHeight="false" outlineLevel="0" collapsed="false">
      <c r="A18" s="8" t="n">
        <v>10025</v>
      </c>
      <c r="B18" s="9" t="s">
        <v>109</v>
      </c>
      <c r="C18" s="9" t="s">
        <v>110</v>
      </c>
      <c r="D18" s="9" t="s">
        <v>28</v>
      </c>
      <c r="E18" s="9" t="s">
        <v>70</v>
      </c>
      <c r="F18" s="8" t="n">
        <v>11</v>
      </c>
      <c r="G18" s="8" t="n">
        <v>94</v>
      </c>
      <c r="H18" s="8" t="s">
        <v>45</v>
      </c>
      <c r="I18" s="8" t="n">
        <v>8.6</v>
      </c>
      <c r="J18" s="11" t="s">
        <v>51</v>
      </c>
      <c r="K18" s="9"/>
      <c r="L18" s="9"/>
      <c r="M18" s="8" t="s">
        <v>93</v>
      </c>
    </row>
    <row r="19" customFormat="false" ht="15" hidden="false" customHeight="false" outlineLevel="0" collapsed="false">
      <c r="A19" s="8" t="n">
        <v>10026</v>
      </c>
      <c r="B19" s="9" t="s">
        <v>111</v>
      </c>
      <c r="C19" s="9" t="s">
        <v>112</v>
      </c>
      <c r="D19" s="9" t="s">
        <v>23</v>
      </c>
      <c r="E19" s="9" t="s">
        <v>58</v>
      </c>
      <c r="F19" s="8" t="n">
        <v>3</v>
      </c>
      <c r="G19" s="8" t="n">
        <v>39</v>
      </c>
      <c r="H19" s="8" t="s">
        <v>45</v>
      </c>
      <c r="I19" s="8" t="n">
        <v>11.2</v>
      </c>
      <c r="J19" s="11" t="s">
        <v>51</v>
      </c>
      <c r="K19" s="9"/>
      <c r="L19" s="9"/>
      <c r="M19" s="8" t="s">
        <v>106</v>
      </c>
    </row>
    <row r="20" customFormat="false" ht="15" hidden="false" customHeight="false" outlineLevel="0" collapsed="false">
      <c r="A20" s="8" t="n">
        <v>10029</v>
      </c>
      <c r="B20" s="9" t="s">
        <v>117</v>
      </c>
      <c r="C20" s="9" t="s">
        <v>118</v>
      </c>
      <c r="D20" s="9" t="s">
        <v>25</v>
      </c>
      <c r="E20" s="9" t="s">
        <v>70</v>
      </c>
      <c r="F20" s="8" t="n">
        <v>15</v>
      </c>
      <c r="G20" s="8" t="n">
        <v>28</v>
      </c>
      <c r="H20" s="8" t="s">
        <v>45</v>
      </c>
      <c r="I20" s="8" t="n">
        <v>2.7</v>
      </c>
      <c r="J20" s="11" t="s">
        <v>51</v>
      </c>
      <c r="K20" s="9"/>
      <c r="L20" s="9"/>
      <c r="M20" s="8"/>
    </row>
    <row r="21" customFormat="false" ht="15" hidden="false" customHeight="false" outlineLevel="0" collapsed="false">
      <c r="A21" s="8" t="n">
        <v>10031</v>
      </c>
      <c r="B21" s="9" t="s">
        <v>122</v>
      </c>
      <c r="C21" s="9" t="s">
        <v>123</v>
      </c>
      <c r="D21" s="9" t="s">
        <v>25</v>
      </c>
      <c r="E21" s="9" t="s">
        <v>55</v>
      </c>
      <c r="F21" s="8" t="n">
        <v>28</v>
      </c>
      <c r="G21" s="8" t="n">
        <v>0</v>
      </c>
      <c r="H21" s="8" t="s">
        <v>45</v>
      </c>
      <c r="I21" s="8" t="n">
        <v>9.8</v>
      </c>
      <c r="J21" s="11" t="s">
        <v>51</v>
      </c>
      <c r="K21" s="9"/>
      <c r="L21" s="9"/>
      <c r="M21" s="8"/>
    </row>
    <row r="22" customFormat="false" ht="15" hidden="false" customHeight="false" outlineLevel="0" collapsed="false">
      <c r="A22" s="8" t="n">
        <v>10032</v>
      </c>
      <c r="B22" s="9" t="s">
        <v>124</v>
      </c>
      <c r="C22" s="9" t="s">
        <v>125</v>
      </c>
      <c r="D22" s="9" t="s">
        <v>25</v>
      </c>
      <c r="E22" s="9" t="s">
        <v>55</v>
      </c>
      <c r="F22" s="8" t="n">
        <v>20</v>
      </c>
      <c r="G22" s="8" t="n">
        <v>64</v>
      </c>
      <c r="H22" s="8" t="s">
        <v>45</v>
      </c>
      <c r="I22" s="8" t="n">
        <v>5.2</v>
      </c>
      <c r="J22" s="11" t="s">
        <v>51</v>
      </c>
      <c r="K22" s="9"/>
      <c r="L22" s="9"/>
      <c r="M22" s="8"/>
    </row>
    <row r="23" customFormat="false" ht="15" hidden="false" customHeight="false" outlineLevel="0" collapsed="false">
      <c r="A23" s="8" t="n">
        <v>10034</v>
      </c>
      <c r="B23" s="9" t="s">
        <v>129</v>
      </c>
      <c r="C23" s="9" t="s">
        <v>130</v>
      </c>
      <c r="D23" s="9" t="s">
        <v>24</v>
      </c>
      <c r="E23" s="9" t="s">
        <v>58</v>
      </c>
      <c r="F23" s="8" t="n">
        <v>6</v>
      </c>
      <c r="G23" s="8" t="n">
        <v>36</v>
      </c>
      <c r="H23" s="8" t="s">
        <v>45</v>
      </c>
      <c r="I23" s="8" t="n">
        <v>7.8</v>
      </c>
      <c r="J23" s="11" t="s">
        <v>51</v>
      </c>
      <c r="K23" s="9"/>
      <c r="L23" s="9"/>
      <c r="M23" s="8"/>
    </row>
    <row r="24" customFormat="false" ht="15" hidden="false" customHeight="false" outlineLevel="0" collapsed="false">
      <c r="A24" s="8" t="n">
        <v>10035</v>
      </c>
      <c r="B24" s="9" t="s">
        <v>131</v>
      </c>
      <c r="C24" s="9" t="s">
        <v>132</v>
      </c>
      <c r="D24" s="9" t="s">
        <v>26</v>
      </c>
      <c r="E24" s="9" t="s">
        <v>55</v>
      </c>
      <c r="F24" s="8" t="n">
        <v>16</v>
      </c>
      <c r="G24" s="8" t="n">
        <v>60</v>
      </c>
      <c r="H24" s="8" t="s">
        <v>45</v>
      </c>
      <c r="I24" s="8" t="n">
        <v>9.3</v>
      </c>
      <c r="J24" s="11" t="s">
        <v>51</v>
      </c>
      <c r="K24" s="9"/>
      <c r="L24" s="9"/>
      <c r="M24" s="8"/>
    </row>
    <row r="25" customFormat="false" ht="15" hidden="false" customHeight="false" outlineLevel="0" collapsed="false">
      <c r="A25" s="8" t="n">
        <v>10036</v>
      </c>
      <c r="B25" s="9" t="s">
        <v>133</v>
      </c>
      <c r="C25" s="9" t="s">
        <v>134</v>
      </c>
      <c r="D25" s="9" t="s">
        <v>24</v>
      </c>
      <c r="E25" s="9" t="s">
        <v>55</v>
      </c>
      <c r="F25" s="8" t="n">
        <v>7</v>
      </c>
      <c r="G25" s="8" t="n">
        <v>99</v>
      </c>
      <c r="H25" s="8" t="s">
        <v>45</v>
      </c>
      <c r="I25" s="8" t="n">
        <v>2.5</v>
      </c>
      <c r="J25" s="11" t="s">
        <v>51</v>
      </c>
      <c r="K25" s="9"/>
      <c r="L25" s="9"/>
      <c r="M25" s="8"/>
    </row>
    <row r="26" customFormat="false" ht="15" hidden="false" customHeight="false" outlineLevel="0" collapsed="false">
      <c r="A26" s="8" t="n">
        <v>10037</v>
      </c>
      <c r="B26" s="9" t="s">
        <v>135</v>
      </c>
      <c r="C26" s="9" t="s">
        <v>136</v>
      </c>
      <c r="D26" s="9" t="s">
        <v>24</v>
      </c>
      <c r="E26" s="9" t="s">
        <v>44</v>
      </c>
      <c r="F26" s="8" t="n">
        <v>36</v>
      </c>
      <c r="G26" s="8" t="n">
        <v>76</v>
      </c>
      <c r="H26" s="8" t="s">
        <v>45</v>
      </c>
      <c r="I26" s="8" t="n">
        <v>9.2</v>
      </c>
      <c r="J26" s="11" t="s">
        <v>51</v>
      </c>
      <c r="K26" s="9"/>
      <c r="L26" s="9"/>
      <c r="M26" s="8"/>
    </row>
    <row r="27" customFormat="false" ht="15" hidden="false" customHeight="false" outlineLevel="0" collapsed="false">
      <c r="A27" s="8" t="n">
        <v>10040</v>
      </c>
      <c r="B27" s="9" t="s">
        <v>141</v>
      </c>
      <c r="C27" s="9" t="s">
        <v>142</v>
      </c>
      <c r="D27" s="9" t="s">
        <v>24</v>
      </c>
      <c r="E27" s="9" t="s">
        <v>58</v>
      </c>
      <c r="F27" s="8" t="n">
        <v>5</v>
      </c>
      <c r="G27" s="8" t="n">
        <v>53</v>
      </c>
      <c r="H27" s="8" t="s">
        <v>45</v>
      </c>
      <c r="I27" s="8" t="n">
        <v>6.7</v>
      </c>
      <c r="J27" s="11" t="s">
        <v>51</v>
      </c>
      <c r="K27" s="9"/>
      <c r="L27" s="9"/>
      <c r="M27" s="8"/>
    </row>
    <row r="28" customFormat="false" ht="15" hidden="false" customHeight="false" outlineLevel="0" collapsed="false">
      <c r="A28" s="8" t="n">
        <v>10042</v>
      </c>
      <c r="B28" s="9" t="s">
        <v>145</v>
      </c>
      <c r="C28" s="9" t="s">
        <v>146</v>
      </c>
      <c r="D28" s="9" t="s">
        <v>25</v>
      </c>
      <c r="E28" s="9" t="s">
        <v>50</v>
      </c>
      <c r="F28" s="8" t="n">
        <v>32</v>
      </c>
      <c r="G28" s="8" t="n">
        <v>3</v>
      </c>
      <c r="H28" s="8" t="s">
        <v>45</v>
      </c>
      <c r="I28" s="8" t="n">
        <v>8.2</v>
      </c>
      <c r="J28" s="11" t="s">
        <v>51</v>
      </c>
      <c r="K28" s="9"/>
      <c r="L28" s="9"/>
      <c r="M28" s="8"/>
    </row>
    <row r="29" customFormat="false" ht="15" hidden="false" customHeight="false" outlineLevel="0" collapsed="false">
      <c r="A29" s="8" t="n">
        <v>10043</v>
      </c>
      <c r="B29" s="9" t="s">
        <v>147</v>
      </c>
      <c r="C29" s="9" t="s">
        <v>148</v>
      </c>
      <c r="D29" s="9" t="s">
        <v>27</v>
      </c>
      <c r="E29" s="9" t="s">
        <v>44</v>
      </c>
      <c r="F29" s="8" t="n">
        <v>2</v>
      </c>
      <c r="G29" s="8" t="n">
        <v>10</v>
      </c>
      <c r="H29" s="8" t="s">
        <v>45</v>
      </c>
      <c r="I29" s="8" t="n">
        <v>2.1</v>
      </c>
      <c r="J29" s="11" t="s">
        <v>51</v>
      </c>
      <c r="K29" s="9"/>
      <c r="L29" s="9"/>
      <c r="M29" s="8" t="s">
        <v>106</v>
      </c>
    </row>
    <row r="30" customFormat="false" ht="15" hidden="false" customHeight="false" outlineLevel="0" collapsed="false">
      <c r="A30" s="8" t="n">
        <v>10044</v>
      </c>
      <c r="B30" s="9" t="s">
        <v>149</v>
      </c>
      <c r="C30" s="9" t="s">
        <v>150</v>
      </c>
      <c r="D30" s="9" t="s">
        <v>23</v>
      </c>
      <c r="E30" s="9" t="s">
        <v>70</v>
      </c>
      <c r="F30" s="8" t="n">
        <v>6</v>
      </c>
      <c r="G30" s="8" t="n">
        <v>60</v>
      </c>
      <c r="H30" s="8" t="s">
        <v>45</v>
      </c>
      <c r="I30" s="8" t="n">
        <v>6.7</v>
      </c>
      <c r="J30" s="11" t="s">
        <v>51</v>
      </c>
      <c r="K30" s="9"/>
      <c r="L30" s="9"/>
      <c r="M30" s="8"/>
    </row>
    <row r="31" customFormat="false" ht="15" hidden="false" customHeight="false" outlineLevel="0" collapsed="false">
      <c r="A31" s="8" t="n">
        <v>10045</v>
      </c>
      <c r="B31" s="9" t="s">
        <v>151</v>
      </c>
      <c r="C31" s="9" t="s">
        <v>152</v>
      </c>
      <c r="D31" s="9" t="s">
        <v>27</v>
      </c>
      <c r="E31" s="9" t="s">
        <v>58</v>
      </c>
      <c r="F31" s="8" t="n">
        <v>16</v>
      </c>
      <c r="G31" s="8" t="n">
        <v>16</v>
      </c>
      <c r="H31" s="8" t="s">
        <v>45</v>
      </c>
      <c r="I31" s="8" t="n">
        <v>1.8</v>
      </c>
      <c r="J31" s="11" t="s">
        <v>51</v>
      </c>
      <c r="K31" s="9"/>
      <c r="L31" s="9"/>
      <c r="M31" s="8"/>
    </row>
    <row r="32" customFormat="false" ht="15" hidden="false" customHeight="false" outlineLevel="0" collapsed="false">
      <c r="A32" s="8" t="n">
        <v>10046</v>
      </c>
      <c r="B32" s="9" t="s">
        <v>153</v>
      </c>
      <c r="C32" s="9" t="s">
        <v>154</v>
      </c>
      <c r="D32" s="9" t="s">
        <v>28</v>
      </c>
      <c r="E32" s="9" t="s">
        <v>70</v>
      </c>
      <c r="F32" s="8" t="n">
        <v>7</v>
      </c>
      <c r="G32" s="8" t="n">
        <v>74</v>
      </c>
      <c r="H32" s="8" t="s">
        <v>45</v>
      </c>
      <c r="I32" s="8" t="n">
        <v>4.1</v>
      </c>
      <c r="J32" s="11" t="s">
        <v>51</v>
      </c>
      <c r="K32" s="9"/>
      <c r="L32" s="9"/>
      <c r="M32" s="8"/>
    </row>
    <row r="33" customFormat="false" ht="15" hidden="false" customHeight="false" outlineLevel="0" collapsed="false">
      <c r="A33" s="8" t="n">
        <v>10047</v>
      </c>
      <c r="B33" s="9" t="s">
        <v>155</v>
      </c>
      <c r="C33" s="9" t="s">
        <v>156</v>
      </c>
      <c r="D33" s="9" t="s">
        <v>28</v>
      </c>
      <c r="E33" s="9" t="s">
        <v>55</v>
      </c>
      <c r="F33" s="8" t="n">
        <v>20</v>
      </c>
      <c r="G33" s="8" t="n">
        <v>108</v>
      </c>
      <c r="H33" s="8" t="s">
        <v>45</v>
      </c>
      <c r="I33" s="8" t="n">
        <v>9.8</v>
      </c>
      <c r="J33" s="11" t="s">
        <v>51</v>
      </c>
      <c r="K33" s="9"/>
      <c r="L33" s="9"/>
      <c r="M33" s="8"/>
    </row>
    <row r="34" customFormat="false" ht="15" hidden="false" customHeight="false" outlineLevel="0" collapsed="false">
      <c r="A34" s="8" t="n">
        <v>10048</v>
      </c>
      <c r="B34" s="9" t="s">
        <v>157</v>
      </c>
      <c r="C34" s="9" t="s">
        <v>158</v>
      </c>
      <c r="D34" s="9" t="s">
        <v>27</v>
      </c>
      <c r="E34" s="9" t="s">
        <v>70</v>
      </c>
      <c r="F34" s="8" t="n">
        <v>1</v>
      </c>
      <c r="G34" s="8" t="n">
        <v>108</v>
      </c>
      <c r="H34" s="8" t="s">
        <v>45</v>
      </c>
      <c r="I34" s="8" t="n">
        <v>6.1</v>
      </c>
      <c r="J34" s="11" t="s">
        <v>51</v>
      </c>
      <c r="K34" s="9"/>
      <c r="L34" s="9"/>
      <c r="M34" s="8"/>
    </row>
    <row r="35" customFormat="false" ht="15" hidden="false" customHeight="false" outlineLevel="0" collapsed="false">
      <c r="A35" s="8" t="n">
        <v>10049</v>
      </c>
      <c r="B35" s="9" t="s">
        <v>159</v>
      </c>
      <c r="C35" s="9" t="s">
        <v>160</v>
      </c>
      <c r="D35" s="9" t="s">
        <v>25</v>
      </c>
      <c r="E35" s="9" t="s">
        <v>44</v>
      </c>
      <c r="F35" s="8" t="n">
        <v>35</v>
      </c>
      <c r="G35" s="8" t="n">
        <v>99</v>
      </c>
      <c r="H35" s="8" t="s">
        <v>45</v>
      </c>
      <c r="I35" s="8" t="n">
        <v>5.5</v>
      </c>
      <c r="J35" s="11" t="s">
        <v>51</v>
      </c>
      <c r="K35" s="9"/>
      <c r="L35" s="9"/>
      <c r="M35" s="8"/>
    </row>
    <row r="36" customFormat="false" ht="15" hidden="false" customHeight="false" outlineLevel="0" collapsed="false">
      <c r="A36" s="8" t="n">
        <v>10051</v>
      </c>
      <c r="B36" s="9" t="s">
        <v>164</v>
      </c>
      <c r="C36" s="9" t="s">
        <v>165</v>
      </c>
      <c r="D36" s="9" t="s">
        <v>26</v>
      </c>
      <c r="E36" s="9" t="s">
        <v>58</v>
      </c>
      <c r="F36" s="8" t="n">
        <v>27</v>
      </c>
      <c r="G36" s="8" t="n">
        <v>62</v>
      </c>
      <c r="H36" s="8" t="s">
        <v>45</v>
      </c>
      <c r="I36" s="8" t="n">
        <v>3.3</v>
      </c>
      <c r="J36" s="11" t="s">
        <v>51</v>
      </c>
      <c r="K36" s="9"/>
      <c r="L36" s="9"/>
      <c r="M36" s="8"/>
    </row>
    <row r="37" customFormat="false" ht="15" hidden="false" customHeight="false" outlineLevel="0" collapsed="false">
      <c r="A37" s="8" t="n">
        <v>10052</v>
      </c>
      <c r="B37" s="9" t="s">
        <v>166</v>
      </c>
      <c r="C37" s="9" t="s">
        <v>167</v>
      </c>
      <c r="D37" s="9" t="s">
        <v>24</v>
      </c>
      <c r="E37" s="9" t="s">
        <v>58</v>
      </c>
      <c r="F37" s="8" t="n">
        <v>20</v>
      </c>
      <c r="G37" s="8" t="n">
        <v>84</v>
      </c>
      <c r="H37" s="8" t="s">
        <v>45</v>
      </c>
      <c r="I37" s="8" t="n">
        <v>5.9</v>
      </c>
      <c r="J37" s="11" t="s">
        <v>51</v>
      </c>
      <c r="K37" s="9"/>
      <c r="L37" s="9"/>
      <c r="M37" s="8"/>
    </row>
    <row r="38" customFormat="false" ht="15" hidden="false" customHeight="false" outlineLevel="0" collapsed="false">
      <c r="A38" s="8" t="n">
        <v>10053</v>
      </c>
      <c r="B38" s="9" t="s">
        <v>168</v>
      </c>
      <c r="C38" s="9" t="s">
        <v>169</v>
      </c>
      <c r="D38" s="9" t="s">
        <v>25</v>
      </c>
      <c r="E38" s="9" t="s">
        <v>58</v>
      </c>
      <c r="F38" s="8" t="n">
        <v>8</v>
      </c>
      <c r="G38" s="8" t="n">
        <v>92</v>
      </c>
      <c r="H38" s="8" t="s">
        <v>45</v>
      </c>
      <c r="I38" s="8" t="n">
        <v>1.9</v>
      </c>
      <c r="J38" s="11" t="s">
        <v>51</v>
      </c>
      <c r="K38" s="9"/>
      <c r="L38" s="9"/>
      <c r="M38" s="8"/>
    </row>
    <row r="39" customFormat="false" ht="15" hidden="false" customHeight="false" outlineLevel="0" collapsed="false">
      <c r="A39" s="8" t="n">
        <v>10055</v>
      </c>
      <c r="B39" s="9" t="s">
        <v>173</v>
      </c>
      <c r="C39" s="9" t="s">
        <v>174</v>
      </c>
      <c r="D39" s="9" t="s">
        <v>26</v>
      </c>
      <c r="E39" s="9" t="s">
        <v>55</v>
      </c>
      <c r="F39" s="8" t="n">
        <v>19</v>
      </c>
      <c r="G39" s="8" t="n">
        <v>60</v>
      </c>
      <c r="H39" s="8" t="s">
        <v>45</v>
      </c>
      <c r="I39" s="8" t="n">
        <v>4.4</v>
      </c>
      <c r="J39" s="11" t="s">
        <v>51</v>
      </c>
      <c r="K39" s="9"/>
      <c r="L39" s="9"/>
      <c r="M39" s="8"/>
    </row>
    <row r="40" customFormat="false" ht="15" hidden="false" customHeight="false" outlineLevel="0" collapsed="false">
      <c r="A40" s="8" t="n">
        <v>10057</v>
      </c>
      <c r="B40" s="9" t="s">
        <v>177</v>
      </c>
      <c r="C40" s="9" t="s">
        <v>178</v>
      </c>
      <c r="D40" s="9" t="s">
        <v>27</v>
      </c>
      <c r="E40" s="9" t="s">
        <v>44</v>
      </c>
      <c r="F40" s="8" t="n">
        <v>15</v>
      </c>
      <c r="G40" s="8" t="n">
        <v>99</v>
      </c>
      <c r="H40" s="8" t="s">
        <v>45</v>
      </c>
      <c r="I40" s="8" t="n">
        <v>5.7</v>
      </c>
      <c r="J40" s="11" t="s">
        <v>51</v>
      </c>
      <c r="K40" s="9"/>
      <c r="L40" s="9"/>
      <c r="M40" s="8"/>
    </row>
    <row r="41" customFormat="false" ht="15" hidden="false" customHeight="false" outlineLevel="0" collapsed="false">
      <c r="A41" s="8" t="n">
        <v>10058</v>
      </c>
      <c r="B41" s="9" t="s">
        <v>143</v>
      </c>
      <c r="C41" s="9" t="s">
        <v>179</v>
      </c>
      <c r="D41" s="9" t="s">
        <v>28</v>
      </c>
      <c r="E41" s="9" t="s">
        <v>58</v>
      </c>
      <c r="F41" s="8" t="n">
        <v>17</v>
      </c>
      <c r="G41" s="8" t="n">
        <v>84</v>
      </c>
      <c r="H41" s="8" t="s">
        <v>45</v>
      </c>
      <c r="I41" s="8" t="n">
        <v>3.3</v>
      </c>
      <c r="J41" s="11" t="s">
        <v>51</v>
      </c>
      <c r="K41" s="9"/>
      <c r="L41" s="9"/>
      <c r="M41" s="8" t="s">
        <v>106</v>
      </c>
    </row>
    <row r="42" customFormat="false" ht="15" hidden="false" customHeight="false" outlineLevel="0" collapsed="false">
      <c r="A42" s="8" t="n">
        <v>10059</v>
      </c>
      <c r="B42" s="9" t="s">
        <v>180</v>
      </c>
      <c r="C42" s="9" t="s">
        <v>181</v>
      </c>
      <c r="D42" s="9" t="s">
        <v>25</v>
      </c>
      <c r="E42" s="9" t="s">
        <v>70</v>
      </c>
      <c r="F42" s="8" t="n">
        <v>30</v>
      </c>
      <c r="G42" s="8" t="n">
        <v>9</v>
      </c>
      <c r="H42" s="8" t="s">
        <v>45</v>
      </c>
      <c r="I42" s="8" t="n">
        <v>11.1</v>
      </c>
      <c r="J42" s="11" t="s">
        <v>51</v>
      </c>
      <c r="K42" s="9"/>
      <c r="L42" s="9"/>
      <c r="M42" s="8"/>
    </row>
    <row r="43" customFormat="false" ht="15" hidden="false" customHeight="false" outlineLevel="0" collapsed="false">
      <c r="A43" s="8" t="n">
        <v>10060</v>
      </c>
      <c r="B43" s="9" t="s">
        <v>182</v>
      </c>
      <c r="C43" s="9" t="s">
        <v>183</v>
      </c>
      <c r="D43" s="9" t="s">
        <v>25</v>
      </c>
      <c r="E43" s="9" t="s">
        <v>58</v>
      </c>
      <c r="F43" s="8" t="n">
        <v>5</v>
      </c>
      <c r="G43" s="8" t="n">
        <v>7</v>
      </c>
      <c r="H43" s="8" t="s">
        <v>45</v>
      </c>
      <c r="I43" s="8" t="n">
        <v>4</v>
      </c>
      <c r="J43" s="11" t="s">
        <v>51</v>
      </c>
      <c r="K43" s="9"/>
      <c r="L43" s="9"/>
      <c r="M43" s="8"/>
    </row>
  </sheetData>
  <autoFilter ref="A3:M43"/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1" min="11" style="0" width="30"/>
    <col collapsed="false" customWidth="true" hidden="false" outlineLevel="0" max="12" min="12" style="0" width="18"/>
    <col collapsed="false" customWidth="true" hidden="false" outlineLevel="0" max="13" min="13" style="0" width="10"/>
  </cols>
  <sheetData>
    <row r="1" customFormat="false" ht="36" hidden="false" customHeight="true" outlineLevel="0" collapsed="false">
      <c r="A1" s="4" t="s">
        <v>30</v>
      </c>
      <c r="B1" s="4" t="s">
        <v>31</v>
      </c>
      <c r="C1" s="4" t="s">
        <v>32</v>
      </c>
      <c r="D1" s="4" t="s">
        <v>21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</row>
    <row r="2" customFormat="false" ht="15" hidden="false" customHeight="false" outlineLevel="0" collapsed="false">
      <c r="A2" s="8" t="n">
        <v>10011</v>
      </c>
      <c r="B2" s="9" t="s">
        <v>73</v>
      </c>
      <c r="C2" s="9" t="s">
        <v>74</v>
      </c>
      <c r="D2" s="9" t="s">
        <v>25</v>
      </c>
      <c r="E2" s="9" t="s">
        <v>58</v>
      </c>
      <c r="F2" s="8" t="n">
        <v>4</v>
      </c>
      <c r="G2" s="8" t="n">
        <v>30</v>
      </c>
      <c r="H2" s="8" t="s">
        <v>75</v>
      </c>
      <c r="I2" s="8"/>
      <c r="J2" s="12" t="s">
        <v>76</v>
      </c>
      <c r="K2" s="9"/>
      <c r="L2" s="9"/>
      <c r="M2" s="8"/>
    </row>
    <row r="3" customFormat="false" ht="15" hidden="false" customHeight="false" outlineLevel="0" collapsed="false">
      <c r="A3" s="8" t="n">
        <v>10019</v>
      </c>
      <c r="B3" s="9" t="s">
        <v>94</v>
      </c>
      <c r="C3" s="9" t="s">
        <v>95</v>
      </c>
      <c r="D3" s="9" t="s">
        <v>28</v>
      </c>
      <c r="E3" s="9" t="s">
        <v>55</v>
      </c>
      <c r="F3" s="8" t="n">
        <v>5</v>
      </c>
      <c r="G3" s="8" t="n">
        <v>86</v>
      </c>
      <c r="H3" s="8" t="s">
        <v>75</v>
      </c>
      <c r="I3" s="8"/>
      <c r="J3" s="12" t="s">
        <v>76</v>
      </c>
      <c r="K3" s="9"/>
      <c r="L3" s="9"/>
      <c r="M3" s="8"/>
    </row>
    <row r="4" customFormat="false" ht="15" hidden="false" customHeight="false" outlineLevel="0" collapsed="false">
      <c r="A4" s="8" t="n">
        <v>10021</v>
      </c>
      <c r="B4" s="9" t="s">
        <v>98</v>
      </c>
      <c r="C4" s="9" t="s">
        <v>99</v>
      </c>
      <c r="D4" s="9" t="s">
        <v>25</v>
      </c>
      <c r="E4" s="9" t="s">
        <v>50</v>
      </c>
      <c r="F4" s="8" t="n">
        <v>21</v>
      </c>
      <c r="G4" s="8" t="n">
        <v>118</v>
      </c>
      <c r="H4" s="8" t="s">
        <v>75</v>
      </c>
      <c r="I4" s="8"/>
      <c r="J4" s="12" t="s">
        <v>76</v>
      </c>
      <c r="K4" s="9"/>
      <c r="L4" s="9"/>
      <c r="M4" s="8"/>
    </row>
    <row r="5" customFormat="false" ht="15" hidden="false" customHeight="false" outlineLevel="0" collapsed="false">
      <c r="A5" s="8" t="n">
        <v>10024</v>
      </c>
      <c r="B5" s="9" t="s">
        <v>107</v>
      </c>
      <c r="C5" s="9" t="s">
        <v>108</v>
      </c>
      <c r="D5" s="9" t="s">
        <v>27</v>
      </c>
      <c r="E5" s="9" t="s">
        <v>50</v>
      </c>
      <c r="F5" s="8" t="n">
        <v>17</v>
      </c>
      <c r="G5" s="8" t="n">
        <v>115</v>
      </c>
      <c r="H5" s="8" t="s">
        <v>75</v>
      </c>
      <c r="I5" s="8"/>
      <c r="J5" s="12" t="s">
        <v>76</v>
      </c>
      <c r="K5" s="9"/>
      <c r="L5" s="9"/>
      <c r="M5" s="8"/>
    </row>
    <row r="6" customFormat="false" ht="15" hidden="false" customHeight="false" outlineLevel="0" collapsed="false">
      <c r="A6" s="8" t="n">
        <v>10027</v>
      </c>
      <c r="B6" s="9" t="s">
        <v>113</v>
      </c>
      <c r="C6" s="9" t="s">
        <v>114</v>
      </c>
      <c r="D6" s="9" t="s">
        <v>23</v>
      </c>
      <c r="E6" s="9" t="s">
        <v>44</v>
      </c>
      <c r="F6" s="8" t="n">
        <v>10</v>
      </c>
      <c r="G6" s="8" t="n">
        <v>118</v>
      </c>
      <c r="H6" s="8" t="s">
        <v>75</v>
      </c>
      <c r="I6" s="8"/>
      <c r="J6" s="12" t="s">
        <v>76</v>
      </c>
      <c r="K6" s="9"/>
      <c r="L6" s="9"/>
      <c r="M6" s="8"/>
    </row>
    <row r="7" customFormat="false" ht="15" hidden="false" customHeight="false" outlineLevel="0" collapsed="false">
      <c r="A7" s="8" t="n">
        <v>10028</v>
      </c>
      <c r="B7" s="9" t="s">
        <v>115</v>
      </c>
      <c r="C7" s="9" t="s">
        <v>116</v>
      </c>
      <c r="D7" s="9" t="s">
        <v>23</v>
      </c>
      <c r="E7" s="9" t="s">
        <v>58</v>
      </c>
      <c r="F7" s="8" t="n">
        <v>18</v>
      </c>
      <c r="G7" s="8" t="n">
        <v>20</v>
      </c>
      <c r="H7" s="8" t="s">
        <v>75</v>
      </c>
      <c r="I7" s="8"/>
      <c r="J7" s="12" t="s">
        <v>76</v>
      </c>
      <c r="K7" s="9"/>
      <c r="L7" s="9"/>
      <c r="M7" s="8"/>
    </row>
    <row r="8" customFormat="false" ht="15" hidden="false" customHeight="false" outlineLevel="0" collapsed="false">
      <c r="A8" s="8" t="n">
        <v>10038</v>
      </c>
      <c r="B8" s="9" t="s">
        <v>137</v>
      </c>
      <c r="C8" s="9" t="s">
        <v>138</v>
      </c>
      <c r="D8" s="9" t="s">
        <v>25</v>
      </c>
      <c r="E8" s="9" t="s">
        <v>58</v>
      </c>
      <c r="F8" s="8" t="n">
        <v>18</v>
      </c>
      <c r="G8" s="8" t="n">
        <v>98</v>
      </c>
      <c r="H8" s="8" t="s">
        <v>75</v>
      </c>
      <c r="I8" s="8"/>
      <c r="J8" s="12" t="s">
        <v>76</v>
      </c>
      <c r="K8" s="9"/>
      <c r="L8" s="9"/>
      <c r="M8" s="8"/>
    </row>
    <row r="9" customFormat="false" ht="15" hidden="false" customHeight="false" outlineLevel="0" collapsed="false">
      <c r="A9" s="8" t="n">
        <v>10039</v>
      </c>
      <c r="B9" s="9" t="s">
        <v>139</v>
      </c>
      <c r="C9" s="9" t="s">
        <v>140</v>
      </c>
      <c r="D9" s="9" t="s">
        <v>28</v>
      </c>
      <c r="E9" s="9" t="s">
        <v>70</v>
      </c>
      <c r="F9" s="8" t="n">
        <v>22</v>
      </c>
      <c r="G9" s="8" t="n">
        <v>40</v>
      </c>
      <c r="H9" s="8" t="s">
        <v>75</v>
      </c>
      <c r="I9" s="8"/>
      <c r="J9" s="12" t="s">
        <v>76</v>
      </c>
      <c r="K9" s="9"/>
      <c r="L9" s="9"/>
      <c r="M9" s="8"/>
    </row>
    <row r="10" customFormat="false" ht="15" hidden="false" customHeight="false" outlineLevel="0" collapsed="false">
      <c r="A10" s="8" t="n">
        <v>10041</v>
      </c>
      <c r="B10" s="9" t="s">
        <v>143</v>
      </c>
      <c r="C10" s="9" t="s">
        <v>144</v>
      </c>
      <c r="D10" s="9" t="s">
        <v>23</v>
      </c>
      <c r="E10" s="9" t="s">
        <v>55</v>
      </c>
      <c r="F10" s="8" t="n">
        <v>23</v>
      </c>
      <c r="G10" s="8" t="n">
        <v>38</v>
      </c>
      <c r="H10" s="8" t="s">
        <v>75</v>
      </c>
      <c r="I10" s="8"/>
      <c r="J10" s="12" t="s">
        <v>76</v>
      </c>
      <c r="K10" s="9"/>
      <c r="L10" s="9"/>
      <c r="M10" s="8"/>
    </row>
    <row r="11" customFormat="false" ht="15" hidden="false" customHeight="false" outlineLevel="0" collapsed="false">
      <c r="A11" s="8" t="n">
        <v>10056</v>
      </c>
      <c r="B11" s="9" t="s">
        <v>175</v>
      </c>
      <c r="C11" s="9" t="s">
        <v>176</v>
      </c>
      <c r="D11" s="9" t="s">
        <v>24</v>
      </c>
      <c r="E11" s="9" t="s">
        <v>55</v>
      </c>
      <c r="F11" s="8" t="n">
        <v>10</v>
      </c>
      <c r="G11" s="8" t="n">
        <v>19</v>
      </c>
      <c r="H11" s="8" t="s">
        <v>75</v>
      </c>
      <c r="I11" s="8"/>
      <c r="J11" s="12" t="s">
        <v>76</v>
      </c>
      <c r="K11" s="9"/>
      <c r="L11" s="9"/>
      <c r="M11" s="8"/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2026-05-07T10:54:51Z</dcterms:created>
  <dc:creator>openpyxl</dc:creator>
  <dc:description/>
  <dc:language>en-US</dc:language>
  <cp:lastModifiedBy/>
  <dcterms:modified xsi:type="dcterms:W3CDTF">2026-05-07T10:54:51Z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